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progetti-main\slotmachine\"/>
    </mc:Choice>
  </mc:AlternateContent>
  <xr:revisionPtr revIDLastSave="0" documentId="13_ncr:1_{0A51EA3C-BA26-475E-9613-46EA177B1E48}" xr6:coauthVersionLast="47" xr6:coauthVersionMax="47" xr10:uidLastSave="{00000000-0000-0000-0000-000000000000}"/>
  <bookViews>
    <workbookView xWindow="39180" yWindow="1785" windowWidth="28800" windowHeight="15345" xr2:uid="{2E90C9ED-128D-40D4-A824-1782E0FEBAD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T1" i="1"/>
  <c r="S3" i="1"/>
  <c r="E3" i="1" s="1"/>
  <c r="E2" i="1"/>
  <c r="A4" i="1"/>
  <c r="S4" i="1" s="1"/>
  <c r="T4" i="1" s="1"/>
  <c r="T3" i="1" l="1"/>
  <c r="M2" i="1"/>
  <c r="J3" i="1"/>
  <c r="I3" i="1"/>
  <c r="L3" i="1"/>
  <c r="K3" i="1"/>
  <c r="H3" i="1"/>
  <c r="G3" i="1"/>
  <c r="F3" i="1"/>
  <c r="I2" i="1"/>
  <c r="J2" i="1"/>
  <c r="K2" i="1"/>
  <c r="L2" i="1"/>
  <c r="H2" i="1"/>
  <c r="G2" i="1"/>
  <c r="F2" i="1"/>
  <c r="A5" i="1"/>
  <c r="S5" i="1" s="1"/>
  <c r="T5" i="1" s="1"/>
  <c r="E4" i="1"/>
  <c r="M3" i="1" l="1"/>
  <c r="F4" i="1"/>
  <c r="G4" i="1"/>
  <c r="H4" i="1"/>
  <c r="I4" i="1"/>
  <c r="J4" i="1"/>
  <c r="K4" i="1"/>
  <c r="L4" i="1"/>
  <c r="A6" i="1"/>
  <c r="S6" i="1" s="1"/>
  <c r="T6" i="1" s="1"/>
  <c r="E5" i="1"/>
  <c r="L5" i="1" l="1"/>
  <c r="M4" i="1"/>
  <c r="F5" i="1"/>
  <c r="G5" i="1"/>
  <c r="H5" i="1"/>
  <c r="I5" i="1"/>
  <c r="J5" i="1"/>
  <c r="K5" i="1"/>
  <c r="A7" i="1"/>
  <c r="S7" i="1" s="1"/>
  <c r="T7" i="1" s="1"/>
  <c r="E6" i="1"/>
  <c r="F6" i="1" l="1"/>
  <c r="M5" i="1"/>
  <c r="G6" i="1"/>
  <c r="H6" i="1"/>
  <c r="I6" i="1"/>
  <c r="J6" i="1"/>
  <c r="K6" i="1"/>
  <c r="L6" i="1"/>
  <c r="A8" i="1"/>
  <c r="S8" i="1" s="1"/>
  <c r="T8" i="1" s="1"/>
  <c r="E7" i="1"/>
  <c r="M6" i="1" l="1"/>
  <c r="F7" i="1"/>
  <c r="G7" i="1"/>
  <c r="H7" i="1"/>
  <c r="I7" i="1"/>
  <c r="J7" i="1"/>
  <c r="K7" i="1"/>
  <c r="L7" i="1"/>
  <c r="A9" i="1"/>
  <c r="S9" i="1" s="1"/>
  <c r="T9" i="1" s="1"/>
  <c r="E8" i="1"/>
  <c r="G8" i="1" l="1"/>
  <c r="H8" i="1"/>
  <c r="I8" i="1"/>
  <c r="J8" i="1"/>
  <c r="M7" i="1"/>
  <c r="K8" i="1"/>
  <c r="L8" i="1"/>
  <c r="F8" i="1"/>
  <c r="A10" i="1"/>
  <c r="S10" i="1" s="1"/>
  <c r="T10" i="1" s="1"/>
  <c r="E9" i="1"/>
  <c r="M8" i="1" l="1"/>
  <c r="F9" i="1"/>
  <c r="G9" i="1"/>
  <c r="H9" i="1"/>
  <c r="I9" i="1"/>
  <c r="J9" i="1"/>
  <c r="K9" i="1"/>
  <c r="L9" i="1"/>
  <c r="A11" i="1"/>
  <c r="S11" i="1" s="1"/>
  <c r="T11" i="1" s="1"/>
  <c r="E10" i="1"/>
  <c r="I10" i="1" l="1"/>
  <c r="J10" i="1"/>
  <c r="K10" i="1"/>
  <c r="L10" i="1"/>
  <c r="M9" i="1"/>
  <c r="F10" i="1"/>
  <c r="G10" i="1"/>
  <c r="H10" i="1"/>
  <c r="A12" i="1"/>
  <c r="S12" i="1" s="1"/>
  <c r="T12" i="1" s="1"/>
  <c r="E11" i="1"/>
  <c r="F11" i="1" l="1"/>
  <c r="G11" i="1"/>
  <c r="H11" i="1"/>
  <c r="M10" i="1"/>
  <c r="I11" i="1"/>
  <c r="J11" i="1"/>
  <c r="K11" i="1"/>
  <c r="L11" i="1"/>
  <c r="A13" i="1"/>
  <c r="S13" i="1" s="1"/>
  <c r="T13" i="1" s="1"/>
  <c r="E12" i="1"/>
  <c r="K12" i="1" l="1"/>
  <c r="L12" i="1"/>
  <c r="M11" i="1"/>
  <c r="F12" i="1"/>
  <c r="G12" i="1"/>
  <c r="H12" i="1"/>
  <c r="I12" i="1"/>
  <c r="J12" i="1"/>
  <c r="A14" i="1"/>
  <c r="S14" i="1" s="1"/>
  <c r="T14" i="1" s="1"/>
  <c r="E13" i="1"/>
  <c r="F13" i="1" l="1"/>
  <c r="G13" i="1"/>
  <c r="H13" i="1"/>
  <c r="I13" i="1"/>
  <c r="J13" i="1"/>
  <c r="K13" i="1"/>
  <c r="L13" i="1"/>
  <c r="M12" i="1"/>
  <c r="A15" i="1"/>
  <c r="S15" i="1" s="1"/>
  <c r="T15" i="1" s="1"/>
  <c r="E14" i="1"/>
  <c r="F14" i="1" l="1"/>
  <c r="M13" i="1"/>
  <c r="G14" i="1"/>
  <c r="H14" i="1"/>
  <c r="I14" i="1"/>
  <c r="J14" i="1"/>
  <c r="K14" i="1"/>
  <c r="L14" i="1"/>
  <c r="A16" i="1"/>
  <c r="S16" i="1" s="1"/>
  <c r="T16" i="1" s="1"/>
  <c r="E15" i="1"/>
  <c r="F15" i="1" l="1"/>
  <c r="G15" i="1"/>
  <c r="H15" i="1"/>
  <c r="I15" i="1"/>
  <c r="J15" i="1"/>
  <c r="K15" i="1"/>
  <c r="L15" i="1"/>
  <c r="M14" i="1"/>
  <c r="A17" i="1"/>
  <c r="S17" i="1" s="1"/>
  <c r="T17" i="1" s="1"/>
  <c r="E16" i="1"/>
  <c r="F16" i="1" l="1"/>
  <c r="G16" i="1"/>
  <c r="H16" i="1"/>
  <c r="I16" i="1"/>
  <c r="J16" i="1"/>
  <c r="M15" i="1"/>
  <c r="K16" i="1"/>
  <c r="L16" i="1"/>
  <c r="A18" i="1"/>
  <c r="S18" i="1" s="1"/>
  <c r="T18" i="1" s="1"/>
  <c r="E17" i="1"/>
  <c r="H17" i="1" l="1"/>
  <c r="I17" i="1"/>
  <c r="J17" i="1"/>
  <c r="K17" i="1"/>
  <c r="L17" i="1"/>
  <c r="M16" i="1"/>
  <c r="F17" i="1"/>
  <c r="G17" i="1"/>
  <c r="A19" i="1"/>
  <c r="S19" i="1" s="1"/>
  <c r="T19" i="1" s="1"/>
  <c r="E18" i="1"/>
  <c r="F18" i="1" l="1"/>
  <c r="G18" i="1"/>
  <c r="H18" i="1"/>
  <c r="I18" i="1"/>
  <c r="J18" i="1"/>
  <c r="K18" i="1"/>
  <c r="L18" i="1"/>
  <c r="M17" i="1"/>
  <c r="A20" i="1"/>
  <c r="S20" i="1" s="1"/>
  <c r="T20" i="1" s="1"/>
  <c r="E19" i="1"/>
  <c r="J19" i="1" l="1"/>
  <c r="K19" i="1"/>
  <c r="L19" i="1"/>
  <c r="F19" i="1"/>
  <c r="G19" i="1"/>
  <c r="H19" i="1"/>
  <c r="M18" i="1"/>
  <c r="I19" i="1"/>
  <c r="A21" i="1"/>
  <c r="S21" i="1" s="1"/>
  <c r="T21" i="1" s="1"/>
  <c r="E20" i="1"/>
  <c r="M19" i="1" l="1"/>
  <c r="F20" i="1"/>
  <c r="G20" i="1"/>
  <c r="H20" i="1"/>
  <c r="I20" i="1"/>
  <c r="J20" i="1"/>
  <c r="K20" i="1"/>
  <c r="L20" i="1"/>
  <c r="A22" i="1"/>
  <c r="S22" i="1" s="1"/>
  <c r="T22" i="1" s="1"/>
  <c r="E21" i="1"/>
  <c r="L21" i="1" l="1"/>
  <c r="M20" i="1"/>
  <c r="F21" i="1"/>
  <c r="G21" i="1"/>
  <c r="H21" i="1"/>
  <c r="I21" i="1"/>
  <c r="J21" i="1"/>
  <c r="K21" i="1"/>
  <c r="A23" i="1"/>
  <c r="S23" i="1" s="1"/>
  <c r="T23" i="1" s="1"/>
  <c r="E22" i="1"/>
  <c r="F22" i="1" l="1"/>
  <c r="M21" i="1"/>
  <c r="G22" i="1"/>
  <c r="H22" i="1"/>
  <c r="I22" i="1"/>
  <c r="J22" i="1"/>
  <c r="K22" i="1"/>
  <c r="L22" i="1"/>
  <c r="A24" i="1"/>
  <c r="S24" i="1" s="1"/>
  <c r="T24" i="1" s="1"/>
  <c r="E23" i="1"/>
  <c r="M22" i="1" l="1"/>
  <c r="F23" i="1"/>
  <c r="G23" i="1"/>
  <c r="H23" i="1"/>
  <c r="I23" i="1"/>
  <c r="J23" i="1"/>
  <c r="K23" i="1"/>
  <c r="L23" i="1"/>
  <c r="A25" i="1"/>
  <c r="S25" i="1" s="1"/>
  <c r="T25" i="1" s="1"/>
  <c r="E24" i="1"/>
  <c r="G24" i="1" l="1"/>
  <c r="H24" i="1"/>
  <c r="I24" i="1"/>
  <c r="J24" i="1"/>
  <c r="M23" i="1"/>
  <c r="K24" i="1"/>
  <c r="L24" i="1"/>
  <c r="F24" i="1"/>
  <c r="A26" i="1"/>
  <c r="S26" i="1" s="1"/>
  <c r="T26" i="1" s="1"/>
  <c r="E25" i="1"/>
  <c r="M24" i="1" l="1"/>
  <c r="F25" i="1"/>
  <c r="G25" i="1"/>
  <c r="H25" i="1"/>
  <c r="I25" i="1"/>
  <c r="J25" i="1"/>
  <c r="K25" i="1"/>
  <c r="L25" i="1"/>
  <c r="A27" i="1"/>
  <c r="S27" i="1" s="1"/>
  <c r="T27" i="1" s="1"/>
  <c r="E26" i="1"/>
  <c r="I26" i="1" l="1"/>
  <c r="J26" i="1"/>
  <c r="K26" i="1"/>
  <c r="L26" i="1"/>
  <c r="M25" i="1"/>
  <c r="F26" i="1"/>
  <c r="G26" i="1"/>
  <c r="H26" i="1"/>
  <c r="A28" i="1"/>
  <c r="S28" i="1" s="1"/>
  <c r="T28" i="1" s="1"/>
  <c r="E27" i="1"/>
  <c r="F27" i="1" l="1"/>
  <c r="G27" i="1"/>
  <c r="H27" i="1"/>
  <c r="M26" i="1"/>
  <c r="I27" i="1"/>
  <c r="J27" i="1"/>
  <c r="K27" i="1"/>
  <c r="L27" i="1"/>
  <c r="A29" i="1"/>
  <c r="S29" i="1" s="1"/>
  <c r="T29" i="1" s="1"/>
  <c r="E28" i="1"/>
  <c r="K28" i="1" l="1"/>
  <c r="L28" i="1"/>
  <c r="M27" i="1"/>
  <c r="F28" i="1"/>
  <c r="G28" i="1"/>
  <c r="H28" i="1"/>
  <c r="I28" i="1"/>
  <c r="J28" i="1"/>
  <c r="A30" i="1"/>
  <c r="S30" i="1" s="1"/>
  <c r="T30" i="1" s="1"/>
  <c r="E29" i="1"/>
  <c r="F29" i="1" l="1"/>
  <c r="G29" i="1"/>
  <c r="H29" i="1"/>
  <c r="I29" i="1"/>
  <c r="J29" i="1"/>
  <c r="K29" i="1"/>
  <c r="L29" i="1"/>
  <c r="M28" i="1"/>
  <c r="A31" i="1"/>
  <c r="S31" i="1" s="1"/>
  <c r="T31" i="1" s="1"/>
  <c r="E30" i="1"/>
  <c r="F30" i="1" l="1"/>
  <c r="M29" i="1"/>
  <c r="G30" i="1"/>
  <c r="H30" i="1"/>
  <c r="I30" i="1"/>
  <c r="J30" i="1"/>
  <c r="K30" i="1"/>
  <c r="L30" i="1"/>
  <c r="A32" i="1"/>
  <c r="S32" i="1" s="1"/>
  <c r="T32" i="1" s="1"/>
  <c r="E31" i="1"/>
  <c r="F31" i="1" l="1"/>
  <c r="G31" i="1"/>
  <c r="H31" i="1"/>
  <c r="I31" i="1"/>
  <c r="J31" i="1"/>
  <c r="K31" i="1"/>
  <c r="L31" i="1"/>
  <c r="M30" i="1"/>
  <c r="A33" i="1"/>
  <c r="S33" i="1" s="1"/>
  <c r="T33" i="1" s="1"/>
  <c r="E32" i="1"/>
  <c r="F32" i="1" l="1"/>
  <c r="G32" i="1"/>
  <c r="H32" i="1"/>
  <c r="I32" i="1"/>
  <c r="J32" i="1"/>
  <c r="M31" i="1"/>
  <c r="K32" i="1"/>
  <c r="L32" i="1"/>
  <c r="A34" i="1"/>
  <c r="S34" i="1" s="1"/>
  <c r="T34" i="1" s="1"/>
  <c r="E33" i="1"/>
  <c r="H33" i="1" l="1"/>
  <c r="I33" i="1"/>
  <c r="J33" i="1"/>
  <c r="K33" i="1"/>
  <c r="L33" i="1"/>
  <c r="M32" i="1"/>
  <c r="F33" i="1"/>
  <c r="G33" i="1"/>
  <c r="A35" i="1"/>
  <c r="S35" i="1" s="1"/>
  <c r="T35" i="1" s="1"/>
  <c r="E34" i="1"/>
  <c r="F34" i="1" l="1"/>
  <c r="G34" i="1"/>
  <c r="H34" i="1"/>
  <c r="I34" i="1"/>
  <c r="J34" i="1"/>
  <c r="K34" i="1"/>
  <c r="L34" i="1"/>
  <c r="M33" i="1"/>
  <c r="A36" i="1"/>
  <c r="S36" i="1" s="1"/>
  <c r="T36" i="1" s="1"/>
  <c r="E35" i="1"/>
  <c r="J35" i="1" l="1"/>
  <c r="K35" i="1"/>
  <c r="L35" i="1"/>
  <c r="F35" i="1"/>
  <c r="G35" i="1"/>
  <c r="H35" i="1"/>
  <c r="M34" i="1"/>
  <c r="I35" i="1"/>
  <c r="A37" i="1"/>
  <c r="S37" i="1" s="1"/>
  <c r="T37" i="1" s="1"/>
  <c r="E36" i="1"/>
  <c r="M35" i="1" l="1"/>
  <c r="F36" i="1"/>
  <c r="G36" i="1"/>
  <c r="H36" i="1"/>
  <c r="I36" i="1"/>
  <c r="J36" i="1"/>
  <c r="K36" i="1"/>
  <c r="L36" i="1"/>
  <c r="A38" i="1"/>
  <c r="S38" i="1" s="1"/>
  <c r="T38" i="1" s="1"/>
  <c r="E37" i="1"/>
  <c r="L37" i="1" l="1"/>
  <c r="M36" i="1"/>
  <c r="F37" i="1"/>
  <c r="G37" i="1"/>
  <c r="H37" i="1"/>
  <c r="I37" i="1"/>
  <c r="J37" i="1"/>
  <c r="K37" i="1"/>
  <c r="A39" i="1"/>
  <c r="S39" i="1" s="1"/>
  <c r="T39" i="1" s="1"/>
  <c r="E38" i="1"/>
  <c r="F38" i="1" l="1"/>
  <c r="M37" i="1"/>
  <c r="G38" i="1"/>
  <c r="H38" i="1"/>
  <c r="I38" i="1"/>
  <c r="J38" i="1"/>
  <c r="K38" i="1"/>
  <c r="L38" i="1"/>
  <c r="A40" i="1"/>
  <c r="S40" i="1" s="1"/>
  <c r="T40" i="1" s="1"/>
  <c r="E39" i="1"/>
  <c r="M38" i="1" l="1"/>
  <c r="F39" i="1"/>
  <c r="G39" i="1"/>
  <c r="H39" i="1"/>
  <c r="I39" i="1"/>
  <c r="J39" i="1"/>
  <c r="K39" i="1"/>
  <c r="L39" i="1"/>
  <c r="A41" i="1"/>
  <c r="S41" i="1" s="1"/>
  <c r="T41" i="1" s="1"/>
  <c r="E40" i="1"/>
  <c r="G40" i="1" l="1"/>
  <c r="H40" i="1"/>
  <c r="I40" i="1"/>
  <c r="J40" i="1"/>
  <c r="M39" i="1"/>
  <c r="K40" i="1"/>
  <c r="L40" i="1"/>
  <c r="F40" i="1"/>
  <c r="A42" i="1"/>
  <c r="S42" i="1" s="1"/>
  <c r="T42" i="1" s="1"/>
  <c r="E41" i="1"/>
  <c r="M40" i="1" l="1"/>
  <c r="F41" i="1"/>
  <c r="G41" i="1"/>
  <c r="H41" i="1"/>
  <c r="I41" i="1"/>
  <c r="J41" i="1"/>
  <c r="K41" i="1"/>
  <c r="L41" i="1"/>
  <c r="A43" i="1"/>
  <c r="S43" i="1" s="1"/>
  <c r="T43" i="1" s="1"/>
  <c r="E42" i="1"/>
  <c r="I42" i="1" l="1"/>
  <c r="J42" i="1"/>
  <c r="K42" i="1"/>
  <c r="L42" i="1"/>
  <c r="M41" i="1"/>
  <c r="F42" i="1"/>
  <c r="G42" i="1"/>
  <c r="H42" i="1"/>
  <c r="A44" i="1"/>
  <c r="S44" i="1" s="1"/>
  <c r="T44" i="1" s="1"/>
  <c r="E43" i="1"/>
  <c r="F43" i="1" l="1"/>
  <c r="G43" i="1"/>
  <c r="H43" i="1"/>
  <c r="M42" i="1"/>
  <c r="I43" i="1"/>
  <c r="J43" i="1"/>
  <c r="K43" i="1"/>
  <c r="L43" i="1"/>
  <c r="A45" i="1"/>
  <c r="S45" i="1" s="1"/>
  <c r="T45" i="1" s="1"/>
  <c r="E44" i="1"/>
  <c r="K44" i="1" l="1"/>
  <c r="L44" i="1"/>
  <c r="M43" i="1"/>
  <c r="F44" i="1"/>
  <c r="G44" i="1"/>
  <c r="H44" i="1"/>
  <c r="I44" i="1"/>
  <c r="J44" i="1"/>
  <c r="A46" i="1"/>
  <c r="S46" i="1" s="1"/>
  <c r="T46" i="1" s="1"/>
  <c r="E45" i="1"/>
  <c r="F45" i="1" l="1"/>
  <c r="G45" i="1"/>
  <c r="H45" i="1"/>
  <c r="I45" i="1"/>
  <c r="J45" i="1"/>
  <c r="K45" i="1"/>
  <c r="L45" i="1"/>
  <c r="M44" i="1"/>
  <c r="A47" i="1"/>
  <c r="S47" i="1" s="1"/>
  <c r="T47" i="1" s="1"/>
  <c r="E46" i="1"/>
  <c r="F46" i="1" l="1"/>
  <c r="M45" i="1"/>
  <c r="G46" i="1"/>
  <c r="H46" i="1"/>
  <c r="I46" i="1"/>
  <c r="J46" i="1"/>
  <c r="K46" i="1"/>
  <c r="L46" i="1"/>
  <c r="A48" i="1"/>
  <c r="S48" i="1" s="1"/>
  <c r="T48" i="1" s="1"/>
  <c r="E47" i="1"/>
  <c r="F47" i="1" l="1"/>
  <c r="G47" i="1"/>
  <c r="H47" i="1"/>
  <c r="I47" i="1"/>
  <c r="J47" i="1"/>
  <c r="K47" i="1"/>
  <c r="L47" i="1"/>
  <c r="M46" i="1"/>
  <c r="A49" i="1"/>
  <c r="S49" i="1" s="1"/>
  <c r="T49" i="1" s="1"/>
  <c r="E48" i="1"/>
  <c r="F48" i="1" l="1"/>
  <c r="G48" i="1"/>
  <c r="H48" i="1"/>
  <c r="I48" i="1"/>
  <c r="J48" i="1"/>
  <c r="M47" i="1"/>
  <c r="K48" i="1"/>
  <c r="L48" i="1"/>
  <c r="A50" i="1"/>
  <c r="S50" i="1" s="1"/>
  <c r="T50" i="1" s="1"/>
  <c r="E49" i="1"/>
  <c r="H49" i="1" l="1"/>
  <c r="I49" i="1"/>
  <c r="J49" i="1"/>
  <c r="K49" i="1"/>
  <c r="L49" i="1"/>
  <c r="M48" i="1"/>
  <c r="F49" i="1"/>
  <c r="G49" i="1"/>
  <c r="A51" i="1"/>
  <c r="S51" i="1" s="1"/>
  <c r="T51" i="1" s="1"/>
  <c r="E50" i="1"/>
  <c r="F50" i="1" l="1"/>
  <c r="G50" i="1"/>
  <c r="H50" i="1"/>
  <c r="I50" i="1"/>
  <c r="J50" i="1"/>
  <c r="K50" i="1"/>
  <c r="L50" i="1"/>
  <c r="M49" i="1"/>
  <c r="A52" i="1"/>
  <c r="S52" i="1" s="1"/>
  <c r="T52" i="1" s="1"/>
  <c r="E51" i="1"/>
  <c r="J51" i="1" l="1"/>
  <c r="K51" i="1"/>
  <c r="L51" i="1"/>
  <c r="F51" i="1"/>
  <c r="G51" i="1"/>
  <c r="H51" i="1"/>
  <c r="M50" i="1"/>
  <c r="I51" i="1"/>
  <c r="A53" i="1"/>
  <c r="S53" i="1" s="1"/>
  <c r="T53" i="1" s="1"/>
  <c r="E52" i="1"/>
  <c r="M51" i="1" l="1"/>
  <c r="F52" i="1"/>
  <c r="G52" i="1"/>
  <c r="H52" i="1"/>
  <c r="I52" i="1"/>
  <c r="J52" i="1"/>
  <c r="K52" i="1"/>
  <c r="L52" i="1"/>
  <c r="A54" i="1"/>
  <c r="S54" i="1" s="1"/>
  <c r="T54" i="1" s="1"/>
  <c r="E53" i="1"/>
  <c r="L53" i="1" l="1"/>
  <c r="M52" i="1"/>
  <c r="F53" i="1"/>
  <c r="G53" i="1"/>
  <c r="H53" i="1"/>
  <c r="I53" i="1"/>
  <c r="J53" i="1"/>
  <c r="K53" i="1"/>
  <c r="A55" i="1"/>
  <c r="S55" i="1" s="1"/>
  <c r="T55" i="1" s="1"/>
  <c r="E54" i="1"/>
  <c r="F54" i="1" l="1"/>
  <c r="M53" i="1"/>
  <c r="G54" i="1"/>
  <c r="H54" i="1"/>
  <c r="I54" i="1"/>
  <c r="J54" i="1"/>
  <c r="K54" i="1"/>
  <c r="L54" i="1"/>
  <c r="A56" i="1"/>
  <c r="S56" i="1" s="1"/>
  <c r="T56" i="1" s="1"/>
  <c r="E55" i="1"/>
  <c r="M54" i="1" l="1"/>
  <c r="F55" i="1"/>
  <c r="G55" i="1"/>
  <c r="H55" i="1"/>
  <c r="I55" i="1"/>
  <c r="J55" i="1"/>
  <c r="K55" i="1"/>
  <c r="L55" i="1"/>
  <c r="A57" i="1"/>
  <c r="S57" i="1" s="1"/>
  <c r="T57" i="1" s="1"/>
  <c r="E56" i="1"/>
  <c r="G56" i="1" l="1"/>
  <c r="H56" i="1"/>
  <c r="I56" i="1"/>
  <c r="J56" i="1"/>
  <c r="M55" i="1"/>
  <c r="K56" i="1"/>
  <c r="L56" i="1"/>
  <c r="F56" i="1"/>
  <c r="A58" i="1"/>
  <c r="S58" i="1" s="1"/>
  <c r="T58" i="1" s="1"/>
  <c r="E57" i="1"/>
  <c r="M56" i="1" l="1"/>
  <c r="F57" i="1"/>
  <c r="G57" i="1"/>
  <c r="H57" i="1"/>
  <c r="I57" i="1"/>
  <c r="J57" i="1"/>
  <c r="K57" i="1"/>
  <c r="L57" i="1"/>
  <c r="A59" i="1"/>
  <c r="S59" i="1" s="1"/>
  <c r="T59" i="1" s="1"/>
  <c r="E58" i="1"/>
  <c r="I58" i="1" l="1"/>
  <c r="J58" i="1"/>
  <c r="K58" i="1"/>
  <c r="L58" i="1"/>
  <c r="M57" i="1"/>
  <c r="F58" i="1"/>
  <c r="G58" i="1"/>
  <c r="H58" i="1"/>
  <c r="A60" i="1"/>
  <c r="S60" i="1" s="1"/>
  <c r="T60" i="1" s="1"/>
  <c r="E59" i="1"/>
  <c r="F59" i="1" l="1"/>
  <c r="G59" i="1"/>
  <c r="H59" i="1"/>
  <c r="M58" i="1"/>
  <c r="I59" i="1"/>
  <c r="J59" i="1"/>
  <c r="K59" i="1"/>
  <c r="L59" i="1"/>
  <c r="A61" i="1"/>
  <c r="S61" i="1" s="1"/>
  <c r="T61" i="1" s="1"/>
  <c r="E60" i="1"/>
  <c r="K60" i="1" l="1"/>
  <c r="L60" i="1"/>
  <c r="M59" i="1"/>
  <c r="F60" i="1"/>
  <c r="G60" i="1"/>
  <c r="H60" i="1"/>
  <c r="I60" i="1"/>
  <c r="J60" i="1"/>
  <c r="A62" i="1"/>
  <c r="S62" i="1" s="1"/>
  <c r="T62" i="1" s="1"/>
  <c r="E61" i="1"/>
  <c r="F61" i="1" l="1"/>
  <c r="G61" i="1"/>
  <c r="H61" i="1"/>
  <c r="I61" i="1"/>
  <c r="J61" i="1"/>
  <c r="K61" i="1"/>
  <c r="L61" i="1"/>
  <c r="M60" i="1"/>
  <c r="A63" i="1"/>
  <c r="S63" i="1" s="1"/>
  <c r="T63" i="1" s="1"/>
  <c r="E62" i="1"/>
  <c r="F62" i="1" l="1"/>
  <c r="M61" i="1"/>
  <c r="G62" i="1"/>
  <c r="H62" i="1"/>
  <c r="I62" i="1"/>
  <c r="J62" i="1"/>
  <c r="K62" i="1"/>
  <c r="L62" i="1"/>
  <c r="A64" i="1"/>
  <c r="S64" i="1" s="1"/>
  <c r="T64" i="1" s="1"/>
  <c r="E63" i="1"/>
  <c r="F63" i="1" l="1"/>
  <c r="G63" i="1"/>
  <c r="H63" i="1"/>
  <c r="I63" i="1"/>
  <c r="J63" i="1"/>
  <c r="K63" i="1"/>
  <c r="L63" i="1"/>
  <c r="M62" i="1"/>
  <c r="A65" i="1"/>
  <c r="S65" i="1" s="1"/>
  <c r="T65" i="1" s="1"/>
  <c r="E64" i="1"/>
  <c r="F64" i="1" l="1"/>
  <c r="G64" i="1"/>
  <c r="H64" i="1"/>
  <c r="I64" i="1"/>
  <c r="J64" i="1"/>
  <c r="M63" i="1"/>
  <c r="K64" i="1"/>
  <c r="L64" i="1"/>
  <c r="A66" i="1"/>
  <c r="S66" i="1" s="1"/>
  <c r="T66" i="1" s="1"/>
  <c r="E65" i="1"/>
  <c r="H65" i="1" l="1"/>
  <c r="I65" i="1"/>
  <c r="J65" i="1"/>
  <c r="K65" i="1"/>
  <c r="L65" i="1"/>
  <c r="M64" i="1"/>
  <c r="F65" i="1"/>
  <c r="G65" i="1"/>
  <c r="A67" i="1"/>
  <c r="S67" i="1" s="1"/>
  <c r="T67" i="1" s="1"/>
  <c r="E66" i="1"/>
  <c r="F66" i="1" l="1"/>
  <c r="G66" i="1"/>
  <c r="H66" i="1"/>
  <c r="I66" i="1"/>
  <c r="J66" i="1"/>
  <c r="K66" i="1"/>
  <c r="L66" i="1"/>
  <c r="M65" i="1"/>
  <c r="A68" i="1"/>
  <c r="S68" i="1" s="1"/>
  <c r="T68" i="1" s="1"/>
  <c r="E67" i="1"/>
  <c r="J67" i="1" l="1"/>
  <c r="K67" i="1"/>
  <c r="L67" i="1"/>
  <c r="F67" i="1"/>
  <c r="G67" i="1"/>
  <c r="H67" i="1"/>
  <c r="M66" i="1"/>
  <c r="I67" i="1"/>
  <c r="A69" i="1"/>
  <c r="S69" i="1" s="1"/>
  <c r="T69" i="1" s="1"/>
  <c r="E68" i="1"/>
  <c r="M67" i="1" l="1"/>
  <c r="F68" i="1"/>
  <c r="G68" i="1"/>
  <c r="H68" i="1"/>
  <c r="I68" i="1"/>
  <c r="J68" i="1"/>
  <c r="K68" i="1"/>
  <c r="L68" i="1"/>
  <c r="A70" i="1"/>
  <c r="S70" i="1" s="1"/>
  <c r="T70" i="1" s="1"/>
  <c r="E69" i="1"/>
  <c r="L69" i="1" l="1"/>
  <c r="M68" i="1"/>
  <c r="F69" i="1"/>
  <c r="G69" i="1"/>
  <c r="H69" i="1"/>
  <c r="I69" i="1"/>
  <c r="J69" i="1"/>
  <c r="K69" i="1"/>
  <c r="A71" i="1"/>
  <c r="S71" i="1" s="1"/>
  <c r="T71" i="1" s="1"/>
  <c r="E70" i="1"/>
  <c r="F70" i="1" l="1"/>
  <c r="M69" i="1"/>
  <c r="G70" i="1"/>
  <c r="H70" i="1"/>
  <c r="I70" i="1"/>
  <c r="J70" i="1"/>
  <c r="K70" i="1"/>
  <c r="L70" i="1"/>
  <c r="A72" i="1"/>
  <c r="S72" i="1" s="1"/>
  <c r="T72" i="1" s="1"/>
  <c r="E71" i="1"/>
  <c r="M70" i="1" l="1"/>
  <c r="F71" i="1"/>
  <c r="G71" i="1"/>
  <c r="H71" i="1"/>
  <c r="I71" i="1"/>
  <c r="J71" i="1"/>
  <c r="K71" i="1"/>
  <c r="L71" i="1"/>
  <c r="A73" i="1"/>
  <c r="S73" i="1" s="1"/>
  <c r="T73" i="1" s="1"/>
  <c r="E72" i="1"/>
  <c r="G72" i="1" l="1"/>
  <c r="H72" i="1"/>
  <c r="I72" i="1"/>
  <c r="J72" i="1"/>
  <c r="M71" i="1"/>
  <c r="K72" i="1"/>
  <c r="L72" i="1"/>
  <c r="F72" i="1"/>
  <c r="A74" i="1"/>
  <c r="S74" i="1" s="1"/>
  <c r="T74" i="1" s="1"/>
  <c r="E73" i="1"/>
  <c r="M72" i="1" l="1"/>
  <c r="F73" i="1"/>
  <c r="G73" i="1"/>
  <c r="H73" i="1"/>
  <c r="I73" i="1"/>
  <c r="J73" i="1"/>
  <c r="K73" i="1"/>
  <c r="L73" i="1"/>
  <c r="A75" i="1"/>
  <c r="S75" i="1" s="1"/>
  <c r="T75" i="1" s="1"/>
  <c r="E74" i="1"/>
  <c r="I74" i="1" l="1"/>
  <c r="J74" i="1"/>
  <c r="K74" i="1"/>
  <c r="L74" i="1"/>
  <c r="M73" i="1"/>
  <c r="F74" i="1"/>
  <c r="G74" i="1"/>
  <c r="H74" i="1"/>
  <c r="A76" i="1"/>
  <c r="S76" i="1" s="1"/>
  <c r="T76" i="1" s="1"/>
  <c r="E75" i="1"/>
  <c r="F75" i="1" l="1"/>
  <c r="G75" i="1"/>
  <c r="H75" i="1"/>
  <c r="M74" i="1"/>
  <c r="I75" i="1"/>
  <c r="J75" i="1"/>
  <c r="K75" i="1"/>
  <c r="L75" i="1"/>
  <c r="A77" i="1"/>
  <c r="S77" i="1" s="1"/>
  <c r="T77" i="1" s="1"/>
  <c r="E76" i="1"/>
  <c r="K76" i="1" l="1"/>
  <c r="L76" i="1"/>
  <c r="M75" i="1"/>
  <c r="F76" i="1"/>
  <c r="G76" i="1"/>
  <c r="H76" i="1"/>
  <c r="I76" i="1"/>
  <c r="J76" i="1"/>
  <c r="A78" i="1"/>
  <c r="S78" i="1" s="1"/>
  <c r="T78" i="1" s="1"/>
  <c r="E77" i="1"/>
  <c r="F77" i="1" l="1"/>
  <c r="G77" i="1"/>
  <c r="H77" i="1"/>
  <c r="I77" i="1"/>
  <c r="J77" i="1"/>
  <c r="K77" i="1"/>
  <c r="L77" i="1"/>
  <c r="M76" i="1"/>
  <c r="A79" i="1"/>
  <c r="S79" i="1" s="1"/>
  <c r="T79" i="1" s="1"/>
  <c r="E78" i="1"/>
  <c r="F78" i="1" l="1"/>
  <c r="M77" i="1"/>
  <c r="G78" i="1"/>
  <c r="H78" i="1"/>
  <c r="I78" i="1"/>
  <c r="J78" i="1"/>
  <c r="K78" i="1"/>
  <c r="L78" i="1"/>
  <c r="A80" i="1"/>
  <c r="S80" i="1" s="1"/>
  <c r="T80" i="1" s="1"/>
  <c r="E79" i="1"/>
  <c r="F79" i="1" l="1"/>
  <c r="G79" i="1"/>
  <c r="H79" i="1"/>
  <c r="I79" i="1"/>
  <c r="J79" i="1"/>
  <c r="K79" i="1"/>
  <c r="L79" i="1"/>
  <c r="M78" i="1"/>
  <c r="A81" i="1"/>
  <c r="S81" i="1" s="1"/>
  <c r="T81" i="1" s="1"/>
  <c r="E80" i="1"/>
  <c r="F80" i="1" l="1"/>
  <c r="G80" i="1"/>
  <c r="H80" i="1"/>
  <c r="I80" i="1"/>
  <c r="J80" i="1"/>
  <c r="M79" i="1"/>
  <c r="K80" i="1"/>
  <c r="L80" i="1"/>
  <c r="A82" i="1"/>
  <c r="S82" i="1" s="1"/>
  <c r="T82" i="1" s="1"/>
  <c r="E81" i="1"/>
  <c r="H81" i="1" l="1"/>
  <c r="I81" i="1"/>
  <c r="J81" i="1"/>
  <c r="K81" i="1"/>
  <c r="L81" i="1"/>
  <c r="M80" i="1"/>
  <c r="F81" i="1"/>
  <c r="G81" i="1"/>
  <c r="A83" i="1"/>
  <c r="S83" i="1" s="1"/>
  <c r="T83" i="1" s="1"/>
  <c r="E82" i="1"/>
  <c r="F82" i="1" l="1"/>
  <c r="G82" i="1"/>
  <c r="H82" i="1"/>
  <c r="J82" i="1"/>
  <c r="K82" i="1"/>
  <c r="L82" i="1"/>
  <c r="M81" i="1"/>
  <c r="I82" i="1"/>
  <c r="A84" i="1"/>
  <c r="S84" i="1" s="1"/>
  <c r="T84" i="1" s="1"/>
  <c r="E83" i="1"/>
  <c r="J83" i="1" l="1"/>
  <c r="K83" i="1"/>
  <c r="F83" i="1"/>
  <c r="G83" i="1"/>
  <c r="H83" i="1"/>
  <c r="I83" i="1"/>
  <c r="L83" i="1"/>
  <c r="M82" i="1"/>
  <c r="A85" i="1"/>
  <c r="S85" i="1" s="1"/>
  <c r="T85" i="1" s="1"/>
  <c r="E84" i="1"/>
  <c r="M83" i="1" l="1"/>
  <c r="G84" i="1"/>
  <c r="H84" i="1"/>
  <c r="I84" i="1"/>
  <c r="J84" i="1"/>
  <c r="L84" i="1"/>
  <c r="F84" i="1"/>
  <c r="K84" i="1"/>
  <c r="A86" i="1"/>
  <c r="S86" i="1" s="1"/>
  <c r="T86" i="1" s="1"/>
  <c r="E85" i="1"/>
  <c r="L85" i="1" l="1"/>
  <c r="M84" i="1"/>
  <c r="F85" i="1"/>
  <c r="G85" i="1"/>
  <c r="H85" i="1"/>
  <c r="I85" i="1"/>
  <c r="J85" i="1"/>
  <c r="K85" i="1"/>
  <c r="A87" i="1"/>
  <c r="S87" i="1" s="1"/>
  <c r="T87" i="1" s="1"/>
  <c r="E86" i="1"/>
  <c r="F86" i="1" l="1"/>
  <c r="M85" i="1"/>
  <c r="I86" i="1"/>
  <c r="K86" i="1"/>
  <c r="L86" i="1"/>
  <c r="G86" i="1"/>
  <c r="H86" i="1"/>
  <c r="J86" i="1"/>
  <c r="A88" i="1"/>
  <c r="S88" i="1" s="1"/>
  <c r="T88" i="1" s="1"/>
  <c r="E87" i="1"/>
  <c r="M86" i="1" l="1"/>
  <c r="G87" i="1"/>
  <c r="H87" i="1"/>
  <c r="I87" i="1"/>
  <c r="K87" i="1"/>
  <c r="L87" i="1"/>
  <c r="F87" i="1"/>
  <c r="J87" i="1"/>
  <c r="A89" i="1"/>
  <c r="S89" i="1" s="1"/>
  <c r="T89" i="1" s="1"/>
  <c r="E88" i="1"/>
  <c r="G88" i="1" l="1"/>
  <c r="H88" i="1"/>
  <c r="M87" i="1"/>
  <c r="K88" i="1"/>
  <c r="J88" i="1"/>
  <c r="L88" i="1"/>
  <c r="F88" i="1"/>
  <c r="I88" i="1"/>
  <c r="A90" i="1"/>
  <c r="S90" i="1" s="1"/>
  <c r="T90" i="1" s="1"/>
  <c r="E89" i="1"/>
  <c r="M88" i="1" l="1"/>
  <c r="F89" i="1"/>
  <c r="G89" i="1"/>
  <c r="I89" i="1"/>
  <c r="J89" i="1"/>
  <c r="K89" i="1"/>
  <c r="L89" i="1"/>
  <c r="H89" i="1"/>
  <c r="A91" i="1"/>
  <c r="S91" i="1" s="1"/>
  <c r="T91" i="1" s="1"/>
  <c r="E90" i="1"/>
  <c r="I90" i="1" l="1"/>
  <c r="J90" i="1"/>
  <c r="M89" i="1"/>
  <c r="F90" i="1"/>
  <c r="G90" i="1"/>
  <c r="H90" i="1"/>
  <c r="K90" i="1"/>
  <c r="L90" i="1"/>
  <c r="A92" i="1"/>
  <c r="S92" i="1" s="1"/>
  <c r="T92" i="1" s="1"/>
  <c r="E91" i="1"/>
  <c r="F91" i="1" l="1"/>
  <c r="H91" i="1"/>
  <c r="M90" i="1"/>
  <c r="I91" i="1"/>
  <c r="K91" i="1"/>
  <c r="L91" i="1"/>
  <c r="G91" i="1"/>
  <c r="J91" i="1"/>
  <c r="A93" i="1"/>
  <c r="S93" i="1" s="1"/>
  <c r="T93" i="1" s="1"/>
  <c r="E92" i="1"/>
  <c r="K92" i="1" l="1"/>
  <c r="L92" i="1"/>
  <c r="M91" i="1"/>
  <c r="F92" i="1"/>
  <c r="H92" i="1"/>
  <c r="I92" i="1"/>
  <c r="G92" i="1"/>
  <c r="J92" i="1"/>
  <c r="A94" i="1"/>
  <c r="S94" i="1" s="1"/>
  <c r="T94" i="1" s="1"/>
  <c r="E93" i="1"/>
  <c r="H93" i="1" l="1"/>
  <c r="J93" i="1"/>
  <c r="K93" i="1"/>
  <c r="M92" i="1"/>
  <c r="F93" i="1"/>
  <c r="G93" i="1"/>
  <c r="I93" i="1"/>
  <c r="L93" i="1"/>
  <c r="A95" i="1"/>
  <c r="S95" i="1" s="1"/>
  <c r="T95" i="1" s="1"/>
  <c r="E94" i="1"/>
  <c r="F94" i="1" l="1"/>
  <c r="M93" i="1"/>
  <c r="G94" i="1"/>
  <c r="H94" i="1"/>
  <c r="J94" i="1"/>
  <c r="K94" i="1"/>
  <c r="I94" i="1"/>
  <c r="L94" i="1"/>
  <c r="A96" i="1"/>
  <c r="S96" i="1" s="1"/>
  <c r="T96" i="1" s="1"/>
  <c r="E95" i="1"/>
  <c r="F95" i="1" l="1"/>
  <c r="G95" i="1"/>
  <c r="J95" i="1"/>
  <c r="L95" i="1"/>
  <c r="M94" i="1"/>
  <c r="K95" i="1"/>
  <c r="H95" i="1"/>
  <c r="I95" i="1"/>
  <c r="A97" i="1"/>
  <c r="S97" i="1" s="1"/>
  <c r="T97" i="1" s="1"/>
  <c r="E96" i="1"/>
  <c r="F96" i="1" l="1"/>
  <c r="H96" i="1"/>
  <c r="I96" i="1"/>
  <c r="J96" i="1"/>
  <c r="M95" i="1"/>
  <c r="L96" i="1"/>
  <c r="G96" i="1"/>
  <c r="K96" i="1"/>
  <c r="A98" i="1"/>
  <c r="S98" i="1" s="1"/>
  <c r="T98" i="1" s="1"/>
  <c r="E97" i="1"/>
  <c r="H97" i="1" l="1"/>
  <c r="I97" i="1"/>
  <c r="L97" i="1"/>
  <c r="M96" i="1"/>
  <c r="F97" i="1"/>
  <c r="G97" i="1"/>
  <c r="J97" i="1"/>
  <c r="K97" i="1"/>
  <c r="A99" i="1"/>
  <c r="S99" i="1" s="1"/>
  <c r="T99" i="1" s="1"/>
  <c r="E98" i="1"/>
  <c r="G98" i="1" l="1"/>
  <c r="H98" i="1"/>
  <c r="L98" i="1"/>
  <c r="M97" i="1"/>
  <c r="F98" i="1"/>
  <c r="I98" i="1"/>
  <c r="J98" i="1"/>
  <c r="K98" i="1"/>
  <c r="A100" i="1"/>
  <c r="S100" i="1" s="1"/>
  <c r="T100" i="1" s="1"/>
  <c r="E99" i="1"/>
  <c r="G99" i="1" l="1"/>
  <c r="H99" i="1"/>
  <c r="M98" i="1"/>
  <c r="F99" i="1"/>
  <c r="I99" i="1"/>
  <c r="J99" i="1"/>
  <c r="K99" i="1"/>
  <c r="L99" i="1"/>
  <c r="A101" i="1"/>
  <c r="S101" i="1" s="1"/>
  <c r="T101" i="1" s="1"/>
  <c r="E100" i="1"/>
  <c r="M99" i="1" l="1"/>
  <c r="J100" i="1"/>
  <c r="G100" i="1"/>
  <c r="H100" i="1"/>
  <c r="I100" i="1"/>
  <c r="K100" i="1"/>
  <c r="L100" i="1"/>
  <c r="F100" i="1"/>
  <c r="A102" i="1"/>
  <c r="S102" i="1" s="1"/>
  <c r="T102" i="1" s="1"/>
  <c r="E101" i="1"/>
  <c r="M100" i="1" l="1"/>
  <c r="G101" i="1"/>
  <c r="I101" i="1"/>
  <c r="J101" i="1"/>
  <c r="F101" i="1"/>
  <c r="H101" i="1"/>
  <c r="K101" i="1"/>
  <c r="L101" i="1"/>
  <c r="A103" i="1"/>
  <c r="S103" i="1" s="1"/>
  <c r="T103" i="1" s="1"/>
  <c r="E102" i="1"/>
  <c r="M101" i="1" l="1"/>
  <c r="L102" i="1"/>
  <c r="F102" i="1"/>
  <c r="G102" i="1"/>
  <c r="H102" i="1"/>
  <c r="I102" i="1"/>
  <c r="J102" i="1"/>
  <c r="K102" i="1"/>
  <c r="A104" i="1"/>
  <c r="S104" i="1" s="1"/>
  <c r="T104" i="1" s="1"/>
  <c r="E103" i="1"/>
  <c r="M102" i="1" l="1"/>
  <c r="I103" i="1"/>
  <c r="K103" i="1"/>
  <c r="L103" i="1"/>
  <c r="G103" i="1"/>
  <c r="H103" i="1"/>
  <c r="J103" i="1"/>
  <c r="F103" i="1"/>
  <c r="A105" i="1"/>
  <c r="S105" i="1" s="1"/>
  <c r="T105" i="1" s="1"/>
  <c r="E104" i="1"/>
  <c r="M103" i="1" l="1"/>
  <c r="F104" i="1"/>
  <c r="G104" i="1"/>
  <c r="H104" i="1"/>
  <c r="I104" i="1"/>
  <c r="J104" i="1"/>
  <c r="K104" i="1"/>
  <c r="L104" i="1"/>
  <c r="A106" i="1"/>
  <c r="S106" i="1" s="1"/>
  <c r="T106" i="1" s="1"/>
  <c r="E105" i="1"/>
  <c r="M104" i="1" l="1"/>
  <c r="G105" i="1"/>
  <c r="K105" i="1"/>
  <c r="F105" i="1"/>
  <c r="H105" i="1"/>
  <c r="L105" i="1"/>
  <c r="I105" i="1"/>
  <c r="J105" i="1"/>
  <c r="A107" i="1"/>
  <c r="S107" i="1" s="1"/>
  <c r="T107" i="1" s="1"/>
  <c r="E106" i="1"/>
  <c r="M105" i="1" l="1"/>
  <c r="F106" i="1"/>
  <c r="G106" i="1"/>
  <c r="I106" i="1"/>
  <c r="J106" i="1"/>
  <c r="K106" i="1"/>
  <c r="L106" i="1"/>
  <c r="H106" i="1"/>
  <c r="A108" i="1"/>
  <c r="S108" i="1" s="1"/>
  <c r="T108" i="1" s="1"/>
  <c r="E107" i="1"/>
  <c r="M106" i="1" l="1"/>
  <c r="I107" i="1"/>
  <c r="F107" i="1"/>
  <c r="G107" i="1"/>
  <c r="H107" i="1"/>
  <c r="J107" i="1"/>
  <c r="K107" i="1"/>
  <c r="L107" i="1"/>
  <c r="A109" i="1"/>
  <c r="S109" i="1" s="1"/>
  <c r="T109" i="1" s="1"/>
  <c r="E108" i="1"/>
  <c r="M107" i="1" l="1"/>
  <c r="F108" i="1"/>
  <c r="H108" i="1"/>
  <c r="I108" i="1"/>
  <c r="G108" i="1"/>
  <c r="J108" i="1"/>
  <c r="K108" i="1"/>
  <c r="L108" i="1"/>
  <c r="A110" i="1"/>
  <c r="S110" i="1" s="1"/>
  <c r="T110" i="1" s="1"/>
  <c r="E109" i="1"/>
  <c r="K109" i="1" l="1"/>
  <c r="M108" i="1"/>
  <c r="H109" i="1"/>
  <c r="I109" i="1"/>
  <c r="J109" i="1"/>
  <c r="L109" i="1"/>
  <c r="F109" i="1"/>
  <c r="G109" i="1"/>
  <c r="A111" i="1"/>
  <c r="S111" i="1" s="1"/>
  <c r="T111" i="1" s="1"/>
  <c r="E110" i="1"/>
  <c r="M109" i="1" l="1"/>
  <c r="H110" i="1"/>
  <c r="J110" i="1"/>
  <c r="K110" i="1"/>
  <c r="F110" i="1"/>
  <c r="G110" i="1"/>
  <c r="I110" i="1"/>
  <c r="L110" i="1"/>
  <c r="A112" i="1"/>
  <c r="S112" i="1" s="1"/>
  <c r="T112" i="1" s="1"/>
  <c r="E111" i="1"/>
  <c r="M110" i="1" l="1"/>
  <c r="F111" i="1"/>
  <c r="H111" i="1"/>
  <c r="I111" i="1"/>
  <c r="J111" i="1"/>
  <c r="K111" i="1"/>
  <c r="L111" i="1"/>
  <c r="G111" i="1"/>
  <c r="A113" i="1"/>
  <c r="S113" i="1" s="1"/>
  <c r="T113" i="1" s="1"/>
  <c r="E112" i="1"/>
  <c r="F112" i="1" l="1"/>
  <c r="J112" i="1"/>
  <c r="M111" i="1"/>
  <c r="L112" i="1"/>
  <c r="H112" i="1"/>
  <c r="I112" i="1"/>
  <c r="K112" i="1"/>
  <c r="G112" i="1"/>
  <c r="A114" i="1"/>
  <c r="S114" i="1" s="1"/>
  <c r="T114" i="1" s="1"/>
  <c r="E113" i="1"/>
  <c r="M112" i="1" l="1"/>
  <c r="F113" i="1"/>
  <c r="G113" i="1"/>
  <c r="I113" i="1"/>
  <c r="J113" i="1"/>
  <c r="L113" i="1"/>
  <c r="H113" i="1"/>
  <c r="K113" i="1"/>
  <c r="A115" i="1"/>
  <c r="S115" i="1" s="1"/>
  <c r="T115" i="1" s="1"/>
  <c r="E114" i="1"/>
  <c r="H114" i="1" l="1"/>
  <c r="M113" i="1"/>
  <c r="F114" i="1"/>
  <c r="G114" i="1"/>
  <c r="I114" i="1"/>
  <c r="J114" i="1"/>
  <c r="K114" i="1"/>
  <c r="L114" i="1"/>
  <c r="A116" i="1"/>
  <c r="S116" i="1" s="1"/>
  <c r="T116" i="1" s="1"/>
  <c r="E115" i="1"/>
  <c r="G115" i="1" l="1"/>
  <c r="H115" i="1"/>
  <c r="I115" i="1"/>
  <c r="J115" i="1"/>
  <c r="K115" i="1"/>
  <c r="M114" i="1"/>
  <c r="F115" i="1"/>
  <c r="L115" i="1"/>
  <c r="A117" i="1"/>
  <c r="S117" i="1" s="1"/>
  <c r="T117" i="1" s="1"/>
  <c r="E116" i="1"/>
  <c r="M115" i="1" l="1"/>
  <c r="J116" i="1"/>
  <c r="F116" i="1"/>
  <c r="G116" i="1"/>
  <c r="I116" i="1"/>
  <c r="H116" i="1"/>
  <c r="K116" i="1"/>
  <c r="L116" i="1"/>
  <c r="A118" i="1"/>
  <c r="S118" i="1" s="1"/>
  <c r="T118" i="1" s="1"/>
  <c r="E117" i="1"/>
  <c r="M116" i="1" l="1"/>
  <c r="I117" i="1"/>
  <c r="L117" i="1"/>
  <c r="K117" i="1"/>
  <c r="F117" i="1"/>
  <c r="H117" i="1"/>
  <c r="G117" i="1"/>
  <c r="J117" i="1"/>
  <c r="A119" i="1"/>
  <c r="S119" i="1" s="1"/>
  <c r="T119" i="1" s="1"/>
  <c r="E118" i="1"/>
  <c r="M117" i="1" l="1"/>
  <c r="L118" i="1"/>
  <c r="F118" i="1"/>
  <c r="G118" i="1"/>
  <c r="H118" i="1"/>
  <c r="J118" i="1"/>
  <c r="K118" i="1"/>
  <c r="I118" i="1"/>
  <c r="A120" i="1"/>
  <c r="S120" i="1" s="1"/>
  <c r="T120" i="1" s="1"/>
  <c r="E119" i="1"/>
  <c r="M118" i="1" l="1"/>
  <c r="K119" i="1"/>
  <c r="G119" i="1"/>
  <c r="F119" i="1"/>
  <c r="H119" i="1"/>
  <c r="I119" i="1"/>
  <c r="J119" i="1"/>
  <c r="L119" i="1"/>
  <c r="A121" i="1"/>
  <c r="S121" i="1" s="1"/>
  <c r="T121" i="1" s="1"/>
  <c r="E120" i="1"/>
  <c r="M119" i="1" l="1"/>
  <c r="I120" i="1"/>
  <c r="J120" i="1"/>
  <c r="K120" i="1"/>
  <c r="L120" i="1"/>
  <c r="F120" i="1"/>
  <c r="G120" i="1"/>
  <c r="H120" i="1"/>
  <c r="A122" i="1"/>
  <c r="S122" i="1" s="1"/>
  <c r="T122" i="1" s="1"/>
  <c r="E121" i="1"/>
  <c r="M120" i="1" l="1"/>
  <c r="G121" i="1"/>
  <c r="H121" i="1"/>
  <c r="I121" i="1"/>
  <c r="K121" i="1"/>
  <c r="F121" i="1"/>
  <c r="J121" i="1"/>
  <c r="L121" i="1"/>
  <c r="A123" i="1"/>
  <c r="S123" i="1" s="1"/>
  <c r="T123" i="1" s="1"/>
  <c r="E122" i="1"/>
  <c r="M121" i="1" l="1"/>
  <c r="F122" i="1"/>
  <c r="K122" i="1"/>
  <c r="L122" i="1"/>
  <c r="G122" i="1"/>
  <c r="H122" i="1"/>
  <c r="I122" i="1"/>
  <c r="J122" i="1"/>
  <c r="A124" i="1"/>
  <c r="S124" i="1" s="1"/>
  <c r="T124" i="1" s="1"/>
  <c r="E123" i="1"/>
  <c r="M122" i="1" l="1"/>
  <c r="I123" i="1"/>
  <c r="F123" i="1"/>
  <c r="G123" i="1"/>
  <c r="H123" i="1"/>
  <c r="J123" i="1"/>
  <c r="L123" i="1"/>
  <c r="K123" i="1"/>
  <c r="A125" i="1"/>
  <c r="S125" i="1" s="1"/>
  <c r="T125" i="1" s="1"/>
  <c r="E124" i="1"/>
  <c r="M123" i="1" l="1"/>
  <c r="H124" i="1"/>
  <c r="I124" i="1"/>
  <c r="F124" i="1"/>
  <c r="G124" i="1"/>
  <c r="J124" i="1"/>
  <c r="K124" i="1"/>
  <c r="L124" i="1"/>
  <c r="A126" i="1"/>
  <c r="S126" i="1" s="1"/>
  <c r="T126" i="1" s="1"/>
  <c r="E125" i="1"/>
  <c r="K125" i="1" l="1"/>
  <c r="M124" i="1"/>
  <c r="J125" i="1"/>
  <c r="L125" i="1"/>
  <c r="G125" i="1"/>
  <c r="I125" i="1"/>
  <c r="F125" i="1"/>
  <c r="H125" i="1"/>
  <c r="A127" i="1"/>
  <c r="S127" i="1" s="1"/>
  <c r="T127" i="1" s="1"/>
  <c r="E126" i="1"/>
  <c r="M125" i="1" l="1"/>
  <c r="J126" i="1"/>
  <c r="F126" i="1"/>
  <c r="G126" i="1"/>
  <c r="I126" i="1"/>
  <c r="K126" i="1"/>
  <c r="L126" i="1"/>
  <c r="H126" i="1"/>
  <c r="A128" i="1"/>
  <c r="S128" i="1" s="1"/>
  <c r="T128" i="1" s="1"/>
  <c r="E127" i="1"/>
  <c r="M126" i="1" l="1"/>
  <c r="F127" i="1"/>
  <c r="H127" i="1"/>
  <c r="I127" i="1"/>
  <c r="J127" i="1"/>
  <c r="K127" i="1"/>
  <c r="L127" i="1"/>
  <c r="G127" i="1"/>
  <c r="A129" i="1"/>
  <c r="S129" i="1" s="1"/>
  <c r="T129" i="1" s="1"/>
  <c r="E128" i="1"/>
  <c r="M127" i="1" l="1"/>
  <c r="G128" i="1"/>
  <c r="H128" i="1"/>
  <c r="I128" i="1"/>
  <c r="J128" i="1"/>
  <c r="L128" i="1"/>
  <c r="F128" i="1"/>
  <c r="K128" i="1"/>
  <c r="A130" i="1"/>
  <c r="S130" i="1" s="1"/>
  <c r="T130" i="1" s="1"/>
  <c r="E129" i="1"/>
  <c r="M128" i="1" l="1"/>
  <c r="H129" i="1"/>
  <c r="F129" i="1"/>
  <c r="G129" i="1"/>
  <c r="I129" i="1"/>
  <c r="J129" i="1"/>
  <c r="K129" i="1"/>
  <c r="L129" i="1"/>
  <c r="A131" i="1"/>
  <c r="S131" i="1" s="1"/>
  <c r="T131" i="1" s="1"/>
  <c r="E130" i="1"/>
  <c r="M129" i="1" l="1"/>
  <c r="I130" i="1"/>
  <c r="J130" i="1"/>
  <c r="K130" i="1"/>
  <c r="L130" i="1"/>
  <c r="F130" i="1"/>
  <c r="G130" i="1"/>
  <c r="H130" i="1"/>
  <c r="A132" i="1"/>
  <c r="S132" i="1" s="1"/>
  <c r="T132" i="1" s="1"/>
  <c r="E131" i="1"/>
  <c r="G131" i="1" l="1"/>
  <c r="M130" i="1"/>
  <c r="F131" i="1"/>
  <c r="H131" i="1"/>
  <c r="I131" i="1"/>
  <c r="J131" i="1"/>
  <c r="K131" i="1"/>
  <c r="L131" i="1"/>
  <c r="A133" i="1"/>
  <c r="S133" i="1" s="1"/>
  <c r="T133" i="1" s="1"/>
  <c r="E132" i="1"/>
  <c r="M131" i="1" l="1"/>
  <c r="K132" i="1"/>
  <c r="L132" i="1"/>
  <c r="F132" i="1"/>
  <c r="G132" i="1"/>
  <c r="I132" i="1"/>
  <c r="H132" i="1"/>
  <c r="J132" i="1"/>
  <c r="A134" i="1"/>
  <c r="S134" i="1" s="1"/>
  <c r="T134" i="1" s="1"/>
  <c r="E133" i="1"/>
  <c r="M132" i="1" l="1"/>
  <c r="F133" i="1"/>
  <c r="G133" i="1"/>
  <c r="I133" i="1"/>
  <c r="H133" i="1"/>
  <c r="J133" i="1"/>
  <c r="K133" i="1"/>
  <c r="L133" i="1"/>
  <c r="A135" i="1"/>
  <c r="S135" i="1" s="1"/>
  <c r="T135" i="1" s="1"/>
  <c r="E134" i="1"/>
  <c r="M133" i="1" l="1"/>
  <c r="G134" i="1"/>
  <c r="H134" i="1"/>
  <c r="I134" i="1"/>
  <c r="J134" i="1"/>
  <c r="K134" i="1"/>
  <c r="L134" i="1"/>
  <c r="F134" i="1"/>
  <c r="A136" i="1"/>
  <c r="S136" i="1" s="1"/>
  <c r="T136" i="1" s="1"/>
  <c r="E135" i="1"/>
  <c r="M134" i="1" l="1"/>
  <c r="F135" i="1"/>
  <c r="G135" i="1"/>
  <c r="H135" i="1"/>
  <c r="I135" i="1"/>
  <c r="K135" i="1"/>
  <c r="J135" i="1"/>
  <c r="L135" i="1"/>
  <c r="A137" i="1"/>
  <c r="S137" i="1" s="1"/>
  <c r="T137" i="1" s="1"/>
  <c r="E136" i="1"/>
  <c r="M135" i="1" l="1"/>
  <c r="F136" i="1"/>
  <c r="G136" i="1"/>
  <c r="H136" i="1"/>
  <c r="I136" i="1"/>
  <c r="L136" i="1"/>
  <c r="J136" i="1"/>
  <c r="K136" i="1"/>
  <c r="A138" i="1"/>
  <c r="S138" i="1" s="1"/>
  <c r="T138" i="1" s="1"/>
  <c r="E137" i="1"/>
  <c r="M136" i="1" l="1"/>
  <c r="H137" i="1"/>
  <c r="I137" i="1"/>
  <c r="J137" i="1"/>
  <c r="K137" i="1"/>
  <c r="G137" i="1"/>
  <c r="L137" i="1"/>
  <c r="F137" i="1"/>
  <c r="A139" i="1"/>
  <c r="S139" i="1" s="1"/>
  <c r="T139" i="1" s="1"/>
  <c r="E138" i="1"/>
  <c r="M137" i="1" l="1"/>
  <c r="F138" i="1"/>
  <c r="G138" i="1"/>
  <c r="H138" i="1"/>
  <c r="I138" i="1"/>
  <c r="J138" i="1"/>
  <c r="K138" i="1"/>
  <c r="L138" i="1"/>
  <c r="A140" i="1"/>
  <c r="S140" i="1" s="1"/>
  <c r="T140" i="1" s="1"/>
  <c r="E139" i="1"/>
  <c r="M138" i="1" l="1"/>
  <c r="J139" i="1"/>
  <c r="K139" i="1"/>
  <c r="L139" i="1"/>
  <c r="G139" i="1"/>
  <c r="H139" i="1"/>
  <c r="I139" i="1"/>
  <c r="F139" i="1"/>
  <c r="A141" i="1"/>
  <c r="S141" i="1" s="1"/>
  <c r="T141" i="1" s="1"/>
  <c r="E140" i="1"/>
  <c r="M139" i="1" l="1"/>
  <c r="F140" i="1"/>
  <c r="H140" i="1"/>
  <c r="L140" i="1"/>
  <c r="G140" i="1"/>
  <c r="I140" i="1"/>
  <c r="J140" i="1"/>
  <c r="K140" i="1"/>
  <c r="A142" i="1"/>
  <c r="S142" i="1" s="1"/>
  <c r="T142" i="1" s="1"/>
  <c r="E141" i="1"/>
  <c r="M140" i="1" l="1"/>
  <c r="L141" i="1"/>
  <c r="F141" i="1"/>
  <c r="G141" i="1"/>
  <c r="H141" i="1"/>
  <c r="I141" i="1"/>
  <c r="J141" i="1"/>
  <c r="K141" i="1"/>
  <c r="A143" i="1"/>
  <c r="S143" i="1" s="1"/>
  <c r="T143" i="1" s="1"/>
  <c r="E142" i="1"/>
  <c r="M141" i="1" l="1"/>
  <c r="F142" i="1"/>
  <c r="G142" i="1"/>
  <c r="H142" i="1"/>
  <c r="J142" i="1"/>
  <c r="I142" i="1"/>
  <c r="K142" i="1"/>
  <c r="L142" i="1"/>
  <c r="A144" i="1"/>
  <c r="S144" i="1" s="1"/>
  <c r="T144" i="1" s="1"/>
  <c r="E143" i="1"/>
  <c r="M142" i="1" l="1"/>
  <c r="L143" i="1"/>
  <c r="H143" i="1"/>
  <c r="F143" i="1"/>
  <c r="G143" i="1"/>
  <c r="I143" i="1"/>
  <c r="J143" i="1"/>
  <c r="K143" i="1"/>
  <c r="A145" i="1"/>
  <c r="S145" i="1" s="1"/>
  <c r="T145" i="1" s="1"/>
  <c r="E144" i="1"/>
  <c r="M143" i="1" l="1"/>
  <c r="G144" i="1"/>
  <c r="H144" i="1"/>
  <c r="I144" i="1"/>
  <c r="J144" i="1"/>
  <c r="L144" i="1"/>
  <c r="F144" i="1"/>
  <c r="K144" i="1"/>
  <c r="A146" i="1"/>
  <c r="S146" i="1" s="1"/>
  <c r="T146" i="1" s="1"/>
  <c r="E145" i="1"/>
  <c r="M144" i="1" l="1"/>
  <c r="F145" i="1"/>
  <c r="G145" i="1"/>
  <c r="H145" i="1"/>
  <c r="I145" i="1"/>
  <c r="J145" i="1"/>
  <c r="K145" i="1"/>
  <c r="L145" i="1"/>
  <c r="A147" i="1"/>
  <c r="S147" i="1" s="1"/>
  <c r="T147" i="1" s="1"/>
  <c r="E146" i="1"/>
  <c r="M145" i="1" l="1"/>
  <c r="I146" i="1"/>
  <c r="J146" i="1"/>
  <c r="K146" i="1"/>
  <c r="L146" i="1"/>
  <c r="F146" i="1"/>
  <c r="G146" i="1"/>
  <c r="H146" i="1"/>
  <c r="A148" i="1"/>
  <c r="S148" i="1" s="1"/>
  <c r="T148" i="1" s="1"/>
  <c r="E147" i="1"/>
  <c r="G147" i="1" l="1"/>
  <c r="M146" i="1"/>
  <c r="J147" i="1"/>
  <c r="K147" i="1"/>
  <c r="L147" i="1"/>
  <c r="F147" i="1"/>
  <c r="H147" i="1"/>
  <c r="I147" i="1"/>
  <c r="A149" i="1"/>
  <c r="S149" i="1" s="1"/>
  <c r="T149" i="1" s="1"/>
  <c r="E148" i="1"/>
  <c r="M147" i="1" l="1"/>
  <c r="K148" i="1"/>
  <c r="L148" i="1"/>
  <c r="F148" i="1"/>
  <c r="G148" i="1"/>
  <c r="H148" i="1"/>
  <c r="I148" i="1"/>
  <c r="J148" i="1"/>
  <c r="A150" i="1"/>
  <c r="S150" i="1" s="1"/>
  <c r="T150" i="1" s="1"/>
  <c r="E149" i="1"/>
  <c r="M148" i="1" l="1"/>
  <c r="G149" i="1"/>
  <c r="I149" i="1"/>
  <c r="J149" i="1"/>
  <c r="K149" i="1"/>
  <c r="L149" i="1"/>
  <c r="H149" i="1"/>
  <c r="F149" i="1"/>
  <c r="A151" i="1"/>
  <c r="S151" i="1" s="1"/>
  <c r="T151" i="1" s="1"/>
  <c r="E150" i="1"/>
  <c r="M149" i="1" l="1"/>
  <c r="I150" i="1"/>
  <c r="J150" i="1"/>
  <c r="K150" i="1"/>
  <c r="L150" i="1"/>
  <c r="G150" i="1"/>
  <c r="H150" i="1"/>
  <c r="F150" i="1"/>
  <c r="A152" i="1"/>
  <c r="S152" i="1" s="1"/>
  <c r="T152" i="1" s="1"/>
  <c r="E151" i="1"/>
  <c r="M150" i="1" l="1"/>
  <c r="F151" i="1"/>
  <c r="G151" i="1"/>
  <c r="I151" i="1"/>
  <c r="K151" i="1"/>
  <c r="H151" i="1"/>
  <c r="J151" i="1"/>
  <c r="L151" i="1"/>
  <c r="A153" i="1"/>
  <c r="S153" i="1" s="1"/>
  <c r="T153" i="1" s="1"/>
  <c r="E152" i="1"/>
  <c r="M151" i="1" l="1"/>
  <c r="F152" i="1"/>
  <c r="G152" i="1"/>
  <c r="H152" i="1"/>
  <c r="I152" i="1"/>
  <c r="J152" i="1"/>
  <c r="K152" i="1"/>
  <c r="L152" i="1"/>
  <c r="A154" i="1"/>
  <c r="S154" i="1" s="1"/>
  <c r="T154" i="1" s="1"/>
  <c r="E153" i="1"/>
  <c r="M152" i="1" l="1"/>
  <c r="H153" i="1"/>
  <c r="I153" i="1"/>
  <c r="K153" i="1"/>
  <c r="J153" i="1"/>
  <c r="L153" i="1"/>
  <c r="F153" i="1"/>
  <c r="G153" i="1"/>
  <c r="A155" i="1"/>
  <c r="S155" i="1" s="1"/>
  <c r="T155" i="1" s="1"/>
  <c r="E154" i="1"/>
  <c r="M153" i="1" l="1"/>
  <c r="F154" i="1"/>
  <c r="G154" i="1"/>
  <c r="H154" i="1"/>
  <c r="I154" i="1"/>
  <c r="J154" i="1"/>
  <c r="K154" i="1"/>
  <c r="L154" i="1"/>
  <c r="A156" i="1"/>
  <c r="S156" i="1" s="1"/>
  <c r="T156" i="1" s="1"/>
  <c r="E155" i="1"/>
  <c r="M154" i="1" l="1"/>
  <c r="J155" i="1"/>
  <c r="K155" i="1"/>
  <c r="L155" i="1"/>
  <c r="F155" i="1"/>
  <c r="G155" i="1"/>
  <c r="H155" i="1"/>
  <c r="I155" i="1"/>
  <c r="A157" i="1"/>
  <c r="S157" i="1" s="1"/>
  <c r="T157" i="1" s="1"/>
  <c r="E156" i="1"/>
  <c r="M155" i="1" l="1"/>
  <c r="F156" i="1"/>
  <c r="H156" i="1"/>
  <c r="K156" i="1"/>
  <c r="L156" i="1"/>
  <c r="G156" i="1"/>
  <c r="I156" i="1"/>
  <c r="J156" i="1"/>
  <c r="A158" i="1"/>
  <c r="S158" i="1" s="1"/>
  <c r="T158" i="1" s="1"/>
  <c r="E157" i="1"/>
  <c r="M156" i="1" l="1"/>
  <c r="L157" i="1"/>
  <c r="F157" i="1"/>
  <c r="G157" i="1"/>
  <c r="H157" i="1"/>
  <c r="I157" i="1"/>
  <c r="J157" i="1"/>
  <c r="K157" i="1"/>
  <c r="A159" i="1"/>
  <c r="S159" i="1" s="1"/>
  <c r="T159" i="1" s="1"/>
  <c r="E158" i="1"/>
  <c r="M157" i="1" l="1"/>
  <c r="F158" i="1"/>
  <c r="H158" i="1"/>
  <c r="J158" i="1"/>
  <c r="G158" i="1"/>
  <c r="K158" i="1"/>
  <c r="L158" i="1"/>
  <c r="I158" i="1"/>
  <c r="A160" i="1"/>
  <c r="S160" i="1" s="1"/>
  <c r="T160" i="1" s="1"/>
  <c r="E159" i="1"/>
  <c r="M158" i="1" l="1"/>
  <c r="J159" i="1"/>
  <c r="K159" i="1"/>
  <c r="L159" i="1"/>
  <c r="H159" i="1"/>
  <c r="F159" i="1"/>
  <c r="G159" i="1"/>
  <c r="I159" i="1"/>
  <c r="A161" i="1"/>
  <c r="S161" i="1" s="1"/>
  <c r="T161" i="1" s="1"/>
  <c r="E160" i="1"/>
  <c r="M159" i="1" l="1"/>
  <c r="G160" i="1"/>
  <c r="H160" i="1"/>
  <c r="J160" i="1"/>
  <c r="L160" i="1"/>
  <c r="F160" i="1"/>
  <c r="I160" i="1"/>
  <c r="K160" i="1"/>
  <c r="A162" i="1"/>
  <c r="S162" i="1" s="1"/>
  <c r="T162" i="1" s="1"/>
  <c r="E161" i="1"/>
  <c r="M160" i="1" l="1"/>
  <c r="H161" i="1"/>
  <c r="I161" i="1"/>
  <c r="J161" i="1"/>
  <c r="K161" i="1"/>
  <c r="L161" i="1"/>
  <c r="F161" i="1"/>
  <c r="G161" i="1"/>
  <c r="A163" i="1"/>
  <c r="S163" i="1" s="1"/>
  <c r="T163" i="1" s="1"/>
  <c r="E162" i="1"/>
  <c r="M161" i="1" l="1"/>
  <c r="I162" i="1"/>
  <c r="J162" i="1"/>
  <c r="L162" i="1"/>
  <c r="K162" i="1"/>
  <c r="F162" i="1"/>
  <c r="G162" i="1"/>
  <c r="H162" i="1"/>
  <c r="A164" i="1"/>
  <c r="S164" i="1" s="1"/>
  <c r="T164" i="1" s="1"/>
  <c r="E163" i="1"/>
  <c r="G163" i="1" l="1"/>
  <c r="M162" i="1"/>
  <c r="F163" i="1"/>
  <c r="H163" i="1"/>
  <c r="I163" i="1"/>
  <c r="J163" i="1"/>
  <c r="K163" i="1"/>
  <c r="L163" i="1"/>
  <c r="A165" i="1"/>
  <c r="S165" i="1" s="1"/>
  <c r="T165" i="1" s="1"/>
  <c r="E164" i="1"/>
  <c r="M163" i="1" l="1"/>
  <c r="K164" i="1"/>
  <c r="L164" i="1"/>
  <c r="F164" i="1"/>
  <c r="I164" i="1"/>
  <c r="H164" i="1"/>
  <c r="J164" i="1"/>
  <c r="G164" i="1"/>
  <c r="A166" i="1"/>
  <c r="S166" i="1" s="1"/>
  <c r="T166" i="1" s="1"/>
  <c r="E165" i="1"/>
  <c r="M164" i="1" l="1"/>
  <c r="G165" i="1"/>
  <c r="I165" i="1"/>
  <c r="L165" i="1"/>
  <c r="J165" i="1"/>
  <c r="K165" i="1"/>
  <c r="F165" i="1"/>
  <c r="H165" i="1"/>
  <c r="A167" i="1"/>
  <c r="S167" i="1" s="1"/>
  <c r="T167" i="1" s="1"/>
  <c r="E166" i="1"/>
  <c r="M165" i="1" l="1"/>
  <c r="F166" i="1"/>
  <c r="G166" i="1"/>
  <c r="H166" i="1"/>
  <c r="I166" i="1"/>
  <c r="J166" i="1"/>
  <c r="K166" i="1"/>
  <c r="L166" i="1"/>
  <c r="A168" i="1"/>
  <c r="S168" i="1" s="1"/>
  <c r="T168" i="1" s="1"/>
  <c r="E167" i="1"/>
  <c r="M166" i="1" l="1"/>
  <c r="F167" i="1"/>
  <c r="G167" i="1"/>
  <c r="I167" i="1"/>
  <c r="K167" i="1"/>
  <c r="H167" i="1"/>
  <c r="J167" i="1"/>
  <c r="L167" i="1"/>
  <c r="A169" i="1"/>
  <c r="S169" i="1" s="1"/>
  <c r="T169" i="1" s="1"/>
  <c r="E168" i="1"/>
  <c r="M167" i="1" l="1"/>
  <c r="K168" i="1"/>
  <c r="L168" i="1"/>
  <c r="G168" i="1"/>
  <c r="H168" i="1"/>
  <c r="F168" i="1"/>
  <c r="I168" i="1"/>
  <c r="J168" i="1"/>
  <c r="A170" i="1"/>
  <c r="S170" i="1" s="1"/>
  <c r="T170" i="1" s="1"/>
  <c r="E169" i="1"/>
  <c r="M168" i="1" l="1"/>
  <c r="H169" i="1"/>
  <c r="I169" i="1"/>
  <c r="K169" i="1"/>
  <c r="F169" i="1"/>
  <c r="G169" i="1"/>
  <c r="J169" i="1"/>
  <c r="L169" i="1"/>
  <c r="A171" i="1"/>
  <c r="S171" i="1" s="1"/>
  <c r="T171" i="1" s="1"/>
  <c r="E170" i="1"/>
  <c r="M169" i="1" l="1"/>
  <c r="F170" i="1"/>
  <c r="K170" i="1"/>
  <c r="L170" i="1"/>
  <c r="G170" i="1"/>
  <c r="H170" i="1"/>
  <c r="I170" i="1"/>
  <c r="J170" i="1"/>
  <c r="A172" i="1"/>
  <c r="S172" i="1" s="1"/>
  <c r="T172" i="1" s="1"/>
  <c r="E171" i="1"/>
  <c r="M170" i="1" l="1"/>
  <c r="J171" i="1"/>
  <c r="K171" i="1"/>
  <c r="L171" i="1"/>
  <c r="F171" i="1"/>
  <c r="G171" i="1"/>
  <c r="H171" i="1"/>
  <c r="I171" i="1"/>
  <c r="A173" i="1"/>
  <c r="S173" i="1" s="1"/>
  <c r="T173" i="1" s="1"/>
  <c r="E172" i="1"/>
  <c r="M171" i="1" l="1"/>
  <c r="F172" i="1"/>
  <c r="H172" i="1"/>
  <c r="G172" i="1"/>
  <c r="I172" i="1"/>
  <c r="J172" i="1"/>
  <c r="K172" i="1"/>
  <c r="L172" i="1"/>
  <c r="A174" i="1"/>
  <c r="S174" i="1" s="1"/>
  <c r="T174" i="1" s="1"/>
  <c r="E173" i="1"/>
  <c r="M172" i="1" l="1"/>
  <c r="L173" i="1"/>
  <c r="F173" i="1"/>
  <c r="H173" i="1"/>
  <c r="I173" i="1"/>
  <c r="J173" i="1"/>
  <c r="K173" i="1"/>
  <c r="G173" i="1"/>
  <c r="A175" i="1"/>
  <c r="S175" i="1" s="1"/>
  <c r="T175" i="1" s="1"/>
  <c r="E174" i="1"/>
  <c r="M173" i="1" l="1"/>
  <c r="F174" i="1"/>
  <c r="H174" i="1"/>
  <c r="J174" i="1"/>
  <c r="L174" i="1"/>
  <c r="K174" i="1"/>
  <c r="G174" i="1"/>
  <c r="I174" i="1"/>
  <c r="A176" i="1"/>
  <c r="S176" i="1" s="1"/>
  <c r="T176" i="1" s="1"/>
  <c r="E175" i="1"/>
  <c r="M174" i="1" l="1"/>
  <c r="F175" i="1"/>
  <c r="G175" i="1"/>
  <c r="H175" i="1"/>
  <c r="I175" i="1"/>
  <c r="J175" i="1"/>
  <c r="K175" i="1"/>
  <c r="L175" i="1"/>
  <c r="A177" i="1"/>
  <c r="S177" i="1" s="1"/>
  <c r="T177" i="1" s="1"/>
  <c r="E176" i="1"/>
  <c r="M175" i="1" l="1"/>
  <c r="G176" i="1"/>
  <c r="H176" i="1"/>
  <c r="J176" i="1"/>
  <c r="L176" i="1"/>
  <c r="F176" i="1"/>
  <c r="I176" i="1"/>
  <c r="K176" i="1"/>
  <c r="A178" i="1"/>
  <c r="S178" i="1" s="1"/>
  <c r="T178" i="1" s="1"/>
  <c r="E177" i="1"/>
  <c r="M176" i="1" l="1"/>
  <c r="L177" i="1"/>
  <c r="F177" i="1"/>
  <c r="G177" i="1"/>
  <c r="H177" i="1"/>
  <c r="J177" i="1"/>
  <c r="K177" i="1"/>
  <c r="I177" i="1"/>
  <c r="A179" i="1"/>
  <c r="S179" i="1" s="1"/>
  <c r="T179" i="1" s="1"/>
  <c r="E178" i="1"/>
  <c r="M177" i="1" l="1"/>
  <c r="I178" i="1"/>
  <c r="J178" i="1"/>
  <c r="L178" i="1"/>
  <c r="F178" i="1"/>
  <c r="G178" i="1"/>
  <c r="H178" i="1"/>
  <c r="K178" i="1"/>
  <c r="A180" i="1"/>
  <c r="S180" i="1" s="1"/>
  <c r="T180" i="1" s="1"/>
  <c r="E179" i="1"/>
  <c r="G179" i="1" l="1"/>
  <c r="M178" i="1"/>
  <c r="F179" i="1"/>
  <c r="H179" i="1"/>
  <c r="I179" i="1"/>
  <c r="J179" i="1"/>
  <c r="K179" i="1"/>
  <c r="L179" i="1"/>
  <c r="A181" i="1"/>
  <c r="S181" i="1" s="1"/>
  <c r="T181" i="1" s="1"/>
  <c r="E180" i="1"/>
  <c r="M179" i="1" l="1"/>
  <c r="K180" i="1"/>
  <c r="L180" i="1"/>
  <c r="G180" i="1"/>
  <c r="H180" i="1"/>
  <c r="I180" i="1"/>
  <c r="J180" i="1"/>
  <c r="F180" i="1"/>
  <c r="A182" i="1"/>
  <c r="S182" i="1" s="1"/>
  <c r="T182" i="1" s="1"/>
  <c r="E181" i="1"/>
  <c r="M180" i="1" l="1"/>
  <c r="G181" i="1"/>
  <c r="I181" i="1"/>
  <c r="F181" i="1"/>
  <c r="H181" i="1"/>
  <c r="J181" i="1"/>
  <c r="K181" i="1"/>
  <c r="L181" i="1"/>
  <c r="A183" i="1"/>
  <c r="S183" i="1" s="1"/>
  <c r="T183" i="1" s="1"/>
  <c r="E182" i="1"/>
  <c r="M181" i="1" l="1"/>
  <c r="F182" i="1"/>
  <c r="G182" i="1"/>
  <c r="H182" i="1"/>
  <c r="I182" i="1"/>
  <c r="K182" i="1"/>
  <c r="L182" i="1"/>
  <c r="J182" i="1"/>
  <c r="A184" i="1"/>
  <c r="S184" i="1" s="1"/>
  <c r="T184" i="1" s="1"/>
  <c r="E183" i="1"/>
  <c r="M182" i="1" l="1"/>
  <c r="F183" i="1"/>
  <c r="G183" i="1"/>
  <c r="I183" i="1"/>
  <c r="H183" i="1"/>
  <c r="J183" i="1"/>
  <c r="K183" i="1"/>
  <c r="L183" i="1"/>
  <c r="A185" i="1"/>
  <c r="S185" i="1" s="1"/>
  <c r="T185" i="1" s="1"/>
  <c r="E184" i="1"/>
  <c r="M183" i="1" l="1"/>
  <c r="F184" i="1"/>
  <c r="G184" i="1"/>
  <c r="H184" i="1"/>
  <c r="I184" i="1"/>
  <c r="J184" i="1"/>
  <c r="K184" i="1"/>
  <c r="L184" i="1"/>
  <c r="A186" i="1"/>
  <c r="S186" i="1" s="1"/>
  <c r="T186" i="1" s="1"/>
  <c r="E185" i="1"/>
  <c r="M184" i="1" l="1"/>
  <c r="H185" i="1"/>
  <c r="I185" i="1"/>
  <c r="K185" i="1"/>
  <c r="G185" i="1"/>
  <c r="J185" i="1"/>
  <c r="L185" i="1"/>
  <c r="F185" i="1"/>
  <c r="A187" i="1"/>
  <c r="S187" i="1" s="1"/>
  <c r="T187" i="1" s="1"/>
  <c r="E186" i="1"/>
  <c r="M185" i="1" l="1"/>
  <c r="K186" i="1"/>
  <c r="L186" i="1"/>
  <c r="F186" i="1"/>
  <c r="G186" i="1"/>
  <c r="H186" i="1"/>
  <c r="I186" i="1"/>
  <c r="J186" i="1"/>
  <c r="A188" i="1"/>
  <c r="S188" i="1" s="1"/>
  <c r="T188" i="1" s="1"/>
  <c r="E187" i="1"/>
  <c r="M186" i="1" l="1"/>
  <c r="J187" i="1"/>
  <c r="K187" i="1"/>
  <c r="F187" i="1"/>
  <c r="G187" i="1"/>
  <c r="H187" i="1"/>
  <c r="I187" i="1"/>
  <c r="L187" i="1"/>
  <c r="A189" i="1"/>
  <c r="S189" i="1" s="1"/>
  <c r="T189" i="1" s="1"/>
  <c r="E188" i="1"/>
  <c r="M187" i="1" l="1"/>
  <c r="F188" i="1"/>
  <c r="G188" i="1"/>
  <c r="H188" i="1"/>
  <c r="I188" i="1"/>
  <c r="J188" i="1"/>
  <c r="K188" i="1"/>
  <c r="L188" i="1"/>
  <c r="A190" i="1"/>
  <c r="S190" i="1" s="1"/>
  <c r="T190" i="1" s="1"/>
  <c r="E189" i="1"/>
  <c r="M188" i="1" l="1"/>
  <c r="L189" i="1"/>
  <c r="I189" i="1"/>
  <c r="J189" i="1"/>
  <c r="K189" i="1"/>
  <c r="G189" i="1"/>
  <c r="H189" i="1"/>
  <c r="F189" i="1"/>
  <c r="A191" i="1"/>
  <c r="S191" i="1" s="1"/>
  <c r="T191" i="1" s="1"/>
  <c r="E190" i="1"/>
  <c r="M189" i="1" l="1"/>
  <c r="F190" i="1"/>
  <c r="H190" i="1"/>
  <c r="G190" i="1"/>
  <c r="I190" i="1"/>
  <c r="J190" i="1"/>
  <c r="K190" i="1"/>
  <c r="L190" i="1"/>
  <c r="A192" i="1"/>
  <c r="S192" i="1" s="1"/>
  <c r="T192" i="1" s="1"/>
  <c r="E191" i="1"/>
  <c r="M190" i="1" l="1"/>
  <c r="F191" i="1"/>
  <c r="G191" i="1"/>
  <c r="H191" i="1"/>
  <c r="J191" i="1"/>
  <c r="K191" i="1"/>
  <c r="I191" i="1"/>
  <c r="L191" i="1"/>
  <c r="A193" i="1"/>
  <c r="S193" i="1" s="1"/>
  <c r="T193" i="1" s="1"/>
  <c r="E192" i="1"/>
  <c r="M191" i="1" l="1"/>
  <c r="G192" i="1"/>
  <c r="H192" i="1"/>
  <c r="J192" i="1"/>
  <c r="I192" i="1"/>
  <c r="K192" i="1"/>
  <c r="L192" i="1"/>
  <c r="F192" i="1"/>
  <c r="A194" i="1"/>
  <c r="S194" i="1" s="1"/>
  <c r="T194" i="1" s="1"/>
  <c r="E193" i="1"/>
  <c r="M192" i="1" l="1"/>
  <c r="F193" i="1"/>
  <c r="G193" i="1"/>
  <c r="H193" i="1"/>
  <c r="I193" i="1"/>
  <c r="J193" i="1"/>
  <c r="K193" i="1"/>
  <c r="L193" i="1"/>
  <c r="A195" i="1"/>
  <c r="S195" i="1" s="1"/>
  <c r="T195" i="1" s="1"/>
  <c r="E194" i="1"/>
  <c r="M193" i="1" l="1"/>
  <c r="I194" i="1"/>
  <c r="J194" i="1"/>
  <c r="L194" i="1"/>
  <c r="F194" i="1"/>
  <c r="G194" i="1"/>
  <c r="H194" i="1"/>
  <c r="K194" i="1"/>
  <c r="A196" i="1"/>
  <c r="S196" i="1" s="1"/>
  <c r="T196" i="1" s="1"/>
  <c r="E195" i="1"/>
  <c r="H195" i="1" l="1"/>
  <c r="M194" i="1"/>
  <c r="I195" i="1"/>
  <c r="J195" i="1"/>
  <c r="K195" i="1"/>
  <c r="L195" i="1"/>
  <c r="F195" i="1"/>
  <c r="G195" i="1"/>
  <c r="A197" i="1"/>
  <c r="S197" i="1" s="1"/>
  <c r="T197" i="1" s="1"/>
  <c r="E196" i="1"/>
  <c r="M195" i="1" l="1"/>
  <c r="K196" i="1"/>
  <c r="L196" i="1"/>
  <c r="F196" i="1"/>
  <c r="G196" i="1"/>
  <c r="I196" i="1"/>
  <c r="H196" i="1"/>
  <c r="J196" i="1"/>
  <c r="A198" i="1"/>
  <c r="S198" i="1" s="1"/>
  <c r="T198" i="1" s="1"/>
  <c r="E197" i="1"/>
  <c r="M196" i="1" l="1"/>
  <c r="G197" i="1"/>
  <c r="H197" i="1"/>
  <c r="I197" i="1"/>
  <c r="J197" i="1"/>
  <c r="K197" i="1"/>
  <c r="L197" i="1"/>
  <c r="F197" i="1"/>
  <c r="A199" i="1"/>
  <c r="S199" i="1" s="1"/>
  <c r="T199" i="1" s="1"/>
  <c r="E198" i="1"/>
  <c r="M197" i="1" l="1"/>
  <c r="F198" i="1"/>
  <c r="G198" i="1"/>
  <c r="H198" i="1"/>
  <c r="I198" i="1"/>
  <c r="J198" i="1"/>
  <c r="K198" i="1"/>
  <c r="L198" i="1"/>
  <c r="A200" i="1"/>
  <c r="S200" i="1" s="1"/>
  <c r="T200" i="1" s="1"/>
  <c r="E199" i="1"/>
  <c r="M198" i="1" l="1"/>
  <c r="F199" i="1"/>
  <c r="G199" i="1"/>
  <c r="I199" i="1"/>
  <c r="H199" i="1"/>
  <c r="J199" i="1"/>
  <c r="K199" i="1"/>
  <c r="L199" i="1"/>
  <c r="A201" i="1"/>
  <c r="S201" i="1" s="1"/>
  <c r="T201" i="1" s="1"/>
  <c r="E200" i="1"/>
  <c r="M199" i="1" l="1"/>
  <c r="K200" i="1"/>
  <c r="L200" i="1"/>
  <c r="F200" i="1"/>
  <c r="G200" i="1"/>
  <c r="I200" i="1"/>
  <c r="H200" i="1"/>
  <c r="J200" i="1"/>
  <c r="A202" i="1"/>
  <c r="S202" i="1" s="1"/>
  <c r="T202" i="1" s="1"/>
  <c r="E201" i="1"/>
  <c r="M200" i="1" l="1"/>
  <c r="H201" i="1"/>
  <c r="I201" i="1"/>
  <c r="K201" i="1"/>
  <c r="F201" i="1"/>
  <c r="G201" i="1"/>
  <c r="J201" i="1"/>
  <c r="L201" i="1"/>
  <c r="A203" i="1"/>
  <c r="S203" i="1" s="1"/>
  <c r="T203" i="1" s="1"/>
  <c r="E202" i="1"/>
  <c r="M201" i="1" l="1"/>
  <c r="L202" i="1"/>
  <c r="F202" i="1"/>
  <c r="G202" i="1"/>
  <c r="H202" i="1"/>
  <c r="K202" i="1"/>
  <c r="I202" i="1"/>
  <c r="J202" i="1"/>
  <c r="A204" i="1"/>
  <c r="S204" i="1" s="1"/>
  <c r="T204" i="1" s="1"/>
  <c r="E203" i="1"/>
  <c r="M202" i="1" l="1"/>
  <c r="J203" i="1"/>
  <c r="K203" i="1"/>
  <c r="I203" i="1"/>
  <c r="L203" i="1"/>
  <c r="F203" i="1"/>
  <c r="G203" i="1"/>
  <c r="H203" i="1"/>
  <c r="A205" i="1"/>
  <c r="S205" i="1" s="1"/>
  <c r="T205" i="1" s="1"/>
  <c r="E204" i="1"/>
  <c r="M203" i="1" l="1"/>
  <c r="F204" i="1"/>
  <c r="G204" i="1"/>
  <c r="I204" i="1"/>
  <c r="J204" i="1"/>
  <c r="H204" i="1"/>
  <c r="K204" i="1"/>
  <c r="L204" i="1"/>
  <c r="A206" i="1"/>
  <c r="S206" i="1" s="1"/>
  <c r="T206" i="1" s="1"/>
  <c r="E205" i="1"/>
  <c r="M204" i="1" l="1"/>
  <c r="L205" i="1"/>
  <c r="G205" i="1"/>
  <c r="J205" i="1"/>
  <c r="K205" i="1"/>
  <c r="I205" i="1"/>
  <c r="F205" i="1"/>
  <c r="H205" i="1"/>
  <c r="A207" i="1"/>
  <c r="S207" i="1" s="1"/>
  <c r="T207" i="1" s="1"/>
  <c r="E206" i="1"/>
  <c r="M205" i="1" l="1"/>
  <c r="F206" i="1"/>
  <c r="H206" i="1"/>
  <c r="J206" i="1"/>
  <c r="K206" i="1"/>
  <c r="L206" i="1"/>
  <c r="G206" i="1"/>
  <c r="I206" i="1"/>
  <c r="A208" i="1"/>
  <c r="S208" i="1" s="1"/>
  <c r="T208" i="1" s="1"/>
  <c r="E207" i="1"/>
  <c r="M206" i="1" l="1"/>
  <c r="G207" i="1"/>
  <c r="H207" i="1"/>
  <c r="I207" i="1"/>
  <c r="J207" i="1"/>
  <c r="K207" i="1"/>
  <c r="L207" i="1"/>
  <c r="F207" i="1"/>
  <c r="A209" i="1"/>
  <c r="S209" i="1" s="1"/>
  <c r="T209" i="1" s="1"/>
  <c r="E208" i="1"/>
  <c r="M207" i="1" l="1"/>
  <c r="G208" i="1"/>
  <c r="H208" i="1"/>
  <c r="J208" i="1"/>
  <c r="F208" i="1"/>
  <c r="I208" i="1"/>
  <c r="K208" i="1"/>
  <c r="L208" i="1"/>
  <c r="A210" i="1"/>
  <c r="S210" i="1" s="1"/>
  <c r="T210" i="1" s="1"/>
  <c r="E209" i="1"/>
  <c r="M208" i="1" l="1"/>
  <c r="H209" i="1"/>
  <c r="I209" i="1"/>
  <c r="J209" i="1"/>
  <c r="L209" i="1"/>
  <c r="F209" i="1"/>
  <c r="G209" i="1"/>
  <c r="K209" i="1"/>
  <c r="A211" i="1"/>
  <c r="S211" i="1" s="1"/>
  <c r="T211" i="1" s="1"/>
  <c r="E210" i="1"/>
  <c r="M209" i="1" l="1"/>
  <c r="I210" i="1"/>
  <c r="J210" i="1"/>
  <c r="L210" i="1"/>
  <c r="F210" i="1"/>
  <c r="G210" i="1"/>
  <c r="H210" i="1"/>
  <c r="K210" i="1"/>
  <c r="A212" i="1"/>
  <c r="S212" i="1" s="1"/>
  <c r="T212" i="1" s="1"/>
  <c r="E211" i="1"/>
  <c r="M210" i="1" l="1"/>
  <c r="H211" i="1"/>
  <c r="I211" i="1"/>
  <c r="J211" i="1"/>
  <c r="K211" i="1"/>
  <c r="L211" i="1"/>
  <c r="F211" i="1"/>
  <c r="G211" i="1"/>
  <c r="A213" i="1"/>
  <c r="S213" i="1" s="1"/>
  <c r="T213" i="1" s="1"/>
  <c r="E212" i="1"/>
  <c r="M211" i="1" l="1"/>
  <c r="K212" i="1"/>
  <c r="L212" i="1"/>
  <c r="F212" i="1"/>
  <c r="G212" i="1"/>
  <c r="H212" i="1"/>
  <c r="J212" i="1"/>
  <c r="I212" i="1"/>
  <c r="A214" i="1"/>
  <c r="S214" i="1" s="1"/>
  <c r="T214" i="1" s="1"/>
  <c r="E213" i="1"/>
  <c r="M212" i="1" l="1"/>
  <c r="G213" i="1"/>
  <c r="F213" i="1"/>
  <c r="H213" i="1"/>
  <c r="J213" i="1"/>
  <c r="I213" i="1"/>
  <c r="K213" i="1"/>
  <c r="L213" i="1"/>
  <c r="A215" i="1"/>
  <c r="S215" i="1" s="1"/>
  <c r="T215" i="1" s="1"/>
  <c r="E214" i="1"/>
  <c r="M213" i="1" l="1"/>
  <c r="K214" i="1"/>
  <c r="L214" i="1"/>
  <c r="F214" i="1"/>
  <c r="G214" i="1"/>
  <c r="H214" i="1"/>
  <c r="I214" i="1"/>
  <c r="J214" i="1"/>
  <c r="A216" i="1"/>
  <c r="S216" i="1" s="1"/>
  <c r="T216" i="1" s="1"/>
  <c r="E215" i="1"/>
  <c r="M214" i="1" l="1"/>
  <c r="F215" i="1"/>
  <c r="G215" i="1"/>
  <c r="I215" i="1"/>
  <c r="H215" i="1"/>
  <c r="K215" i="1"/>
  <c r="L215" i="1"/>
  <c r="J215" i="1"/>
  <c r="A217" i="1"/>
  <c r="S217" i="1" s="1"/>
  <c r="T217" i="1" s="1"/>
  <c r="E216" i="1"/>
  <c r="M215" i="1" l="1"/>
  <c r="F216" i="1"/>
  <c r="G216" i="1"/>
  <c r="H216" i="1"/>
  <c r="I216" i="1"/>
  <c r="J216" i="1"/>
  <c r="K216" i="1"/>
  <c r="L216" i="1"/>
  <c r="A218" i="1"/>
  <c r="S218" i="1" s="1"/>
  <c r="T218" i="1" s="1"/>
  <c r="E217" i="1"/>
  <c r="M216" i="1" l="1"/>
  <c r="H217" i="1"/>
  <c r="I217" i="1"/>
  <c r="K217" i="1"/>
  <c r="L217" i="1"/>
  <c r="F217" i="1"/>
  <c r="G217" i="1"/>
  <c r="J217" i="1"/>
  <c r="A219" i="1"/>
  <c r="S219" i="1" s="1"/>
  <c r="T219" i="1" s="1"/>
  <c r="E218" i="1"/>
  <c r="M217" i="1" l="1"/>
  <c r="F218" i="1"/>
  <c r="G218" i="1"/>
  <c r="I218" i="1"/>
  <c r="J218" i="1"/>
  <c r="H218" i="1"/>
  <c r="K218" i="1"/>
  <c r="L218" i="1"/>
  <c r="A220" i="1"/>
  <c r="S220" i="1" s="1"/>
  <c r="T220" i="1" s="1"/>
  <c r="E219" i="1"/>
  <c r="M218" i="1" l="1"/>
  <c r="J219" i="1"/>
  <c r="K219" i="1"/>
  <c r="H219" i="1"/>
  <c r="I219" i="1"/>
  <c r="L219" i="1"/>
  <c r="F219" i="1"/>
  <c r="G219" i="1"/>
  <c r="A221" i="1"/>
  <c r="S221" i="1" s="1"/>
  <c r="T221" i="1" s="1"/>
  <c r="E220" i="1"/>
  <c r="M219" i="1" l="1"/>
  <c r="F220" i="1"/>
  <c r="J220" i="1"/>
  <c r="K220" i="1"/>
  <c r="L220" i="1"/>
  <c r="G220" i="1"/>
  <c r="H220" i="1"/>
  <c r="I220" i="1"/>
  <c r="A222" i="1"/>
  <c r="S222" i="1" s="1"/>
  <c r="T222" i="1" s="1"/>
  <c r="E221" i="1"/>
  <c r="M220" i="1" l="1"/>
  <c r="L221" i="1"/>
  <c r="G221" i="1"/>
  <c r="H221" i="1"/>
  <c r="F221" i="1"/>
  <c r="J221" i="1"/>
  <c r="I221" i="1"/>
  <c r="K221" i="1"/>
  <c r="A223" i="1"/>
  <c r="S223" i="1" s="1"/>
  <c r="T223" i="1" s="1"/>
  <c r="E222" i="1"/>
  <c r="M221" i="1" l="1"/>
  <c r="F222" i="1"/>
  <c r="H222" i="1"/>
  <c r="I222" i="1"/>
  <c r="J222" i="1"/>
  <c r="K222" i="1"/>
  <c r="L222" i="1"/>
  <c r="G222" i="1"/>
  <c r="A224" i="1"/>
  <c r="S224" i="1" s="1"/>
  <c r="T224" i="1" s="1"/>
  <c r="E223" i="1"/>
  <c r="M222" i="1" l="1"/>
  <c r="H223" i="1"/>
  <c r="I223" i="1"/>
  <c r="J223" i="1"/>
  <c r="L223" i="1"/>
  <c r="G223" i="1"/>
  <c r="K223" i="1"/>
  <c r="F223" i="1"/>
  <c r="A225" i="1"/>
  <c r="S225" i="1" s="1"/>
  <c r="T225" i="1" s="1"/>
  <c r="E224" i="1"/>
  <c r="M223" i="1" l="1"/>
  <c r="G224" i="1"/>
  <c r="H224" i="1"/>
  <c r="J224" i="1"/>
  <c r="F224" i="1"/>
  <c r="I224" i="1"/>
  <c r="K224" i="1"/>
  <c r="L224" i="1"/>
  <c r="A226" i="1"/>
  <c r="S226" i="1" s="1"/>
  <c r="T226" i="1" s="1"/>
  <c r="E225" i="1"/>
  <c r="M224" i="1" l="1"/>
  <c r="F225" i="1"/>
  <c r="G225" i="1"/>
  <c r="I225" i="1"/>
  <c r="H225" i="1"/>
  <c r="J225" i="1"/>
  <c r="K225" i="1"/>
  <c r="L225" i="1"/>
  <c r="A227" i="1"/>
  <c r="S227" i="1" s="1"/>
  <c r="T227" i="1" s="1"/>
  <c r="E226" i="1"/>
  <c r="M225" i="1" l="1"/>
  <c r="I226" i="1"/>
  <c r="J226" i="1"/>
  <c r="L226" i="1"/>
  <c r="F226" i="1"/>
  <c r="G226" i="1"/>
  <c r="H226" i="1"/>
  <c r="K226" i="1"/>
  <c r="A228" i="1"/>
  <c r="S228" i="1" s="1"/>
  <c r="T228" i="1" s="1"/>
  <c r="E227" i="1"/>
  <c r="M226" i="1" l="1"/>
  <c r="F227" i="1"/>
  <c r="G227" i="1"/>
  <c r="K227" i="1"/>
  <c r="L227" i="1"/>
  <c r="I227" i="1"/>
  <c r="J227" i="1"/>
  <c r="H227" i="1"/>
  <c r="A229" i="1"/>
  <c r="S229" i="1" s="1"/>
  <c r="T229" i="1" s="1"/>
  <c r="E228" i="1"/>
  <c r="M227" i="1" l="1"/>
  <c r="K228" i="1"/>
  <c r="L228" i="1"/>
  <c r="F228" i="1"/>
  <c r="G228" i="1"/>
  <c r="H228" i="1"/>
  <c r="I228" i="1"/>
  <c r="J228" i="1"/>
  <c r="A230" i="1"/>
  <c r="S230" i="1" s="1"/>
  <c r="T230" i="1" s="1"/>
  <c r="E229" i="1"/>
  <c r="M228" i="1" l="1"/>
  <c r="F229" i="1"/>
  <c r="G229" i="1"/>
  <c r="H229" i="1"/>
  <c r="J229" i="1"/>
  <c r="K229" i="1"/>
  <c r="L229" i="1"/>
  <c r="I229" i="1"/>
  <c r="A231" i="1"/>
  <c r="S231" i="1" s="1"/>
  <c r="T231" i="1" s="1"/>
  <c r="E230" i="1"/>
  <c r="M229" i="1" l="1"/>
  <c r="H230" i="1"/>
  <c r="I230" i="1"/>
  <c r="J230" i="1"/>
  <c r="K230" i="1"/>
  <c r="L230" i="1"/>
  <c r="F230" i="1"/>
  <c r="G230" i="1"/>
  <c r="A232" i="1"/>
  <c r="S232" i="1" s="1"/>
  <c r="T232" i="1" s="1"/>
  <c r="E231" i="1"/>
  <c r="M230" i="1" l="1"/>
  <c r="F231" i="1"/>
  <c r="G231" i="1"/>
  <c r="J231" i="1"/>
  <c r="K231" i="1"/>
  <c r="L231" i="1"/>
  <c r="H231" i="1"/>
  <c r="I231" i="1"/>
  <c r="A233" i="1"/>
  <c r="S233" i="1" s="1"/>
  <c r="T233" i="1" s="1"/>
  <c r="E232" i="1"/>
  <c r="M231" i="1" l="1"/>
  <c r="G232" i="1"/>
  <c r="H232" i="1"/>
  <c r="F232" i="1"/>
  <c r="I232" i="1"/>
  <c r="J232" i="1"/>
  <c r="K232" i="1"/>
  <c r="L232" i="1"/>
  <c r="A234" i="1"/>
  <c r="S234" i="1" s="1"/>
  <c r="T234" i="1" s="1"/>
  <c r="E233" i="1"/>
  <c r="M232" i="1" l="1"/>
  <c r="H233" i="1"/>
  <c r="I233" i="1"/>
  <c r="G233" i="1"/>
  <c r="F233" i="1"/>
  <c r="J233" i="1"/>
  <c r="K233" i="1"/>
  <c r="L233" i="1"/>
  <c r="A235" i="1"/>
  <c r="S235" i="1" s="1"/>
  <c r="T235" i="1" s="1"/>
  <c r="E234" i="1"/>
  <c r="M233" i="1" l="1"/>
  <c r="G234" i="1"/>
  <c r="H234" i="1"/>
  <c r="I234" i="1"/>
  <c r="K234" i="1"/>
  <c r="L234" i="1"/>
  <c r="F234" i="1"/>
  <c r="J234" i="1"/>
  <c r="A236" i="1"/>
  <c r="S236" i="1" s="1"/>
  <c r="T236" i="1" s="1"/>
  <c r="E235" i="1"/>
  <c r="M234" i="1" l="1"/>
  <c r="J235" i="1"/>
  <c r="K235" i="1"/>
  <c r="H235" i="1"/>
  <c r="I235" i="1"/>
  <c r="L235" i="1"/>
  <c r="F235" i="1"/>
  <c r="G235" i="1"/>
  <c r="A237" i="1"/>
  <c r="S237" i="1" s="1"/>
  <c r="T237" i="1" s="1"/>
  <c r="E236" i="1"/>
  <c r="M235" i="1" l="1"/>
  <c r="K236" i="1"/>
  <c r="L236" i="1"/>
  <c r="F236" i="1"/>
  <c r="G236" i="1"/>
  <c r="H236" i="1"/>
  <c r="I236" i="1"/>
  <c r="J236" i="1"/>
  <c r="A238" i="1"/>
  <c r="S238" i="1" s="1"/>
  <c r="T238" i="1" s="1"/>
  <c r="E237" i="1"/>
  <c r="M236" i="1" l="1"/>
  <c r="L237" i="1"/>
  <c r="F237" i="1"/>
  <c r="I237" i="1"/>
  <c r="G237" i="1"/>
  <c r="K237" i="1"/>
  <c r="H237" i="1"/>
  <c r="J237" i="1"/>
  <c r="A239" i="1"/>
  <c r="S239" i="1" s="1"/>
  <c r="T239" i="1" s="1"/>
  <c r="E238" i="1"/>
  <c r="M237" i="1" l="1"/>
  <c r="F238" i="1"/>
  <c r="K238" i="1"/>
  <c r="L238" i="1"/>
  <c r="G238" i="1"/>
  <c r="H238" i="1"/>
  <c r="I238" i="1"/>
  <c r="J238" i="1"/>
  <c r="A240" i="1"/>
  <c r="S240" i="1" s="1"/>
  <c r="T240" i="1" s="1"/>
  <c r="E239" i="1"/>
  <c r="M238" i="1" l="1"/>
  <c r="H239" i="1"/>
  <c r="I239" i="1"/>
  <c r="J239" i="1"/>
  <c r="F239" i="1"/>
  <c r="G239" i="1"/>
  <c r="K239" i="1"/>
  <c r="L239" i="1"/>
  <c r="A241" i="1"/>
  <c r="S241" i="1" s="1"/>
  <c r="T241" i="1" s="1"/>
  <c r="E240" i="1"/>
  <c r="M239" i="1" l="1"/>
  <c r="G240" i="1"/>
  <c r="H240" i="1"/>
  <c r="F240" i="1"/>
  <c r="I240" i="1"/>
  <c r="K240" i="1"/>
  <c r="J240" i="1"/>
  <c r="L240" i="1"/>
  <c r="A242" i="1"/>
  <c r="S242" i="1" s="1"/>
  <c r="T242" i="1" s="1"/>
  <c r="E241" i="1"/>
  <c r="M240" i="1" l="1"/>
  <c r="L241" i="1"/>
  <c r="F241" i="1"/>
  <c r="G241" i="1"/>
  <c r="H241" i="1"/>
  <c r="J241" i="1"/>
  <c r="I241" i="1"/>
  <c r="K241" i="1"/>
  <c r="A243" i="1"/>
  <c r="S243" i="1" s="1"/>
  <c r="T243" i="1" s="1"/>
  <c r="E242" i="1"/>
  <c r="M241" i="1" l="1"/>
  <c r="I242" i="1"/>
  <c r="J242" i="1"/>
  <c r="F242" i="1"/>
  <c r="G242" i="1"/>
  <c r="H242" i="1"/>
  <c r="K242" i="1"/>
  <c r="L242" i="1"/>
  <c r="A244" i="1"/>
  <c r="S244" i="1" s="1"/>
  <c r="T244" i="1" s="1"/>
  <c r="E243" i="1"/>
  <c r="M242" i="1" l="1"/>
  <c r="F243" i="1"/>
  <c r="G243" i="1"/>
  <c r="H243" i="1"/>
  <c r="J243" i="1"/>
  <c r="L243" i="1"/>
  <c r="I243" i="1"/>
  <c r="K243" i="1"/>
  <c r="A245" i="1"/>
  <c r="S245" i="1" s="1"/>
  <c r="T245" i="1" s="1"/>
  <c r="E244" i="1"/>
  <c r="M243" i="1" l="1"/>
  <c r="K244" i="1"/>
  <c r="L244" i="1"/>
  <c r="I244" i="1"/>
  <c r="J244" i="1"/>
  <c r="F244" i="1"/>
  <c r="G244" i="1"/>
  <c r="H244" i="1"/>
  <c r="A246" i="1"/>
  <c r="S246" i="1" s="1"/>
  <c r="T246" i="1" s="1"/>
  <c r="E245" i="1"/>
  <c r="M244" i="1" l="1"/>
  <c r="H245" i="1"/>
  <c r="I245" i="1"/>
  <c r="J245" i="1"/>
  <c r="K245" i="1"/>
  <c r="L245" i="1"/>
  <c r="F245" i="1"/>
  <c r="G245" i="1"/>
  <c r="A247" i="1"/>
  <c r="S247" i="1" s="1"/>
  <c r="T247" i="1" s="1"/>
  <c r="E246" i="1"/>
  <c r="M245" i="1" l="1"/>
  <c r="F246" i="1"/>
  <c r="G246" i="1"/>
  <c r="I246" i="1"/>
  <c r="H246" i="1"/>
  <c r="J246" i="1"/>
  <c r="K246" i="1"/>
  <c r="L246" i="1"/>
  <c r="A248" i="1"/>
  <c r="S248" i="1" s="1"/>
  <c r="T248" i="1" s="1"/>
  <c r="E247" i="1"/>
  <c r="M246" i="1" l="1"/>
  <c r="F247" i="1"/>
  <c r="G247" i="1"/>
  <c r="H247" i="1"/>
  <c r="I247" i="1"/>
  <c r="J247" i="1"/>
  <c r="K247" i="1"/>
  <c r="L247" i="1"/>
  <c r="A249" i="1"/>
  <c r="S249" i="1" s="1"/>
  <c r="T249" i="1" s="1"/>
  <c r="E248" i="1"/>
  <c r="M247" i="1" l="1"/>
  <c r="G248" i="1"/>
  <c r="H248" i="1"/>
  <c r="I248" i="1"/>
  <c r="J248" i="1"/>
  <c r="K248" i="1"/>
  <c r="L248" i="1"/>
  <c r="F248" i="1"/>
  <c r="A250" i="1"/>
  <c r="S250" i="1" s="1"/>
  <c r="T250" i="1" s="1"/>
  <c r="E249" i="1"/>
  <c r="M248" i="1" l="1"/>
  <c r="H249" i="1"/>
  <c r="I249" i="1"/>
  <c r="L249" i="1"/>
  <c r="F249" i="1"/>
  <c r="J249" i="1"/>
  <c r="G249" i="1"/>
  <c r="K249" i="1"/>
  <c r="A251" i="1"/>
  <c r="S251" i="1" s="1"/>
  <c r="T251" i="1" s="1"/>
  <c r="E250" i="1"/>
  <c r="M249" i="1" l="1"/>
  <c r="F250" i="1"/>
  <c r="H250" i="1"/>
  <c r="I250" i="1"/>
  <c r="J250" i="1"/>
  <c r="K250" i="1"/>
  <c r="L250" i="1"/>
  <c r="G250" i="1"/>
  <c r="A252" i="1"/>
  <c r="S252" i="1" s="1"/>
  <c r="T252" i="1" s="1"/>
  <c r="E251" i="1"/>
  <c r="M250" i="1" l="1"/>
  <c r="J251" i="1"/>
  <c r="K251" i="1"/>
  <c r="F251" i="1"/>
  <c r="G251" i="1"/>
  <c r="H251" i="1"/>
  <c r="I251" i="1"/>
  <c r="L251" i="1"/>
  <c r="A253" i="1"/>
  <c r="S253" i="1" s="1"/>
  <c r="T253" i="1" s="1"/>
  <c r="E252" i="1"/>
  <c r="M251" i="1" l="1"/>
  <c r="I252" i="1"/>
  <c r="J252" i="1"/>
  <c r="F252" i="1"/>
  <c r="G252" i="1"/>
  <c r="H252" i="1"/>
  <c r="K252" i="1"/>
  <c r="L252" i="1"/>
  <c r="A254" i="1"/>
  <c r="S254" i="1" s="1"/>
  <c r="T254" i="1" s="1"/>
  <c r="E253" i="1"/>
  <c r="M252" i="1" l="1"/>
  <c r="L253" i="1"/>
  <c r="F253" i="1"/>
  <c r="G253" i="1"/>
  <c r="H253" i="1"/>
  <c r="I253" i="1"/>
  <c r="J253" i="1"/>
  <c r="K253" i="1"/>
  <c r="A255" i="1"/>
  <c r="S255" i="1" s="1"/>
  <c r="T255" i="1" s="1"/>
  <c r="E254" i="1"/>
  <c r="M253" i="1" l="1"/>
  <c r="F254" i="1"/>
  <c r="G254" i="1"/>
  <c r="H254" i="1"/>
  <c r="I254" i="1"/>
  <c r="J254" i="1"/>
  <c r="K254" i="1"/>
  <c r="L254" i="1"/>
  <c r="A256" i="1"/>
  <c r="S256" i="1" s="1"/>
  <c r="T256" i="1" s="1"/>
  <c r="E255" i="1"/>
  <c r="M254" i="1" l="1"/>
  <c r="F255" i="1"/>
  <c r="G255" i="1"/>
  <c r="H255" i="1"/>
  <c r="K255" i="1"/>
  <c r="L255" i="1"/>
  <c r="J255" i="1"/>
  <c r="I255" i="1"/>
  <c r="A257" i="1"/>
  <c r="S257" i="1" s="1"/>
  <c r="T257" i="1" s="1"/>
  <c r="E256" i="1"/>
  <c r="M255" i="1" l="1"/>
  <c r="G256" i="1"/>
  <c r="H256" i="1"/>
  <c r="F256" i="1"/>
  <c r="I256" i="1"/>
  <c r="J256" i="1"/>
  <c r="K256" i="1"/>
  <c r="L256" i="1"/>
  <c r="A258" i="1"/>
  <c r="S258" i="1" s="1"/>
  <c r="T258" i="1" s="1"/>
  <c r="E257" i="1"/>
  <c r="M256" i="1" l="1"/>
  <c r="J257" i="1"/>
  <c r="K257" i="1"/>
  <c r="F257" i="1"/>
  <c r="G257" i="1"/>
  <c r="H257" i="1"/>
  <c r="I257" i="1"/>
  <c r="L257" i="1"/>
  <c r="A259" i="1"/>
  <c r="S259" i="1" s="1"/>
  <c r="T259" i="1" s="1"/>
  <c r="E258" i="1"/>
  <c r="M257" i="1" l="1"/>
  <c r="I258" i="1"/>
  <c r="J258" i="1"/>
  <c r="F258" i="1"/>
  <c r="G258" i="1"/>
  <c r="H258" i="1"/>
  <c r="K258" i="1"/>
  <c r="L258" i="1"/>
  <c r="A260" i="1"/>
  <c r="S260" i="1" s="1"/>
  <c r="T260" i="1" s="1"/>
  <c r="E259" i="1"/>
  <c r="M258" i="1" l="1"/>
  <c r="L259" i="1"/>
  <c r="I259" i="1"/>
  <c r="J259" i="1"/>
  <c r="K259" i="1"/>
  <c r="G259" i="1"/>
  <c r="H259" i="1"/>
  <c r="F259" i="1"/>
  <c r="A261" i="1"/>
  <c r="S261" i="1" s="1"/>
  <c r="T261" i="1" s="1"/>
  <c r="E260" i="1"/>
  <c r="M259" i="1" l="1"/>
  <c r="K260" i="1"/>
  <c r="L260" i="1"/>
  <c r="G260" i="1"/>
  <c r="H260" i="1"/>
  <c r="F260" i="1"/>
  <c r="I260" i="1"/>
  <c r="J260" i="1"/>
  <c r="A262" i="1"/>
  <c r="S262" i="1" s="1"/>
  <c r="T262" i="1" s="1"/>
  <c r="E261" i="1"/>
  <c r="M260" i="1" l="1"/>
  <c r="F261" i="1"/>
  <c r="G261" i="1"/>
  <c r="H261" i="1"/>
  <c r="I261" i="1"/>
  <c r="J261" i="1"/>
  <c r="K261" i="1"/>
  <c r="L261" i="1"/>
  <c r="A263" i="1"/>
  <c r="S263" i="1" s="1"/>
  <c r="T263" i="1" s="1"/>
  <c r="E262" i="1"/>
  <c r="M261" i="1" l="1"/>
  <c r="K262" i="1"/>
  <c r="L262" i="1"/>
  <c r="F262" i="1"/>
  <c r="G262" i="1"/>
  <c r="H262" i="1"/>
  <c r="I262" i="1"/>
  <c r="J262" i="1"/>
  <c r="A264" i="1"/>
  <c r="S264" i="1" s="1"/>
  <c r="T264" i="1" s="1"/>
  <c r="E263" i="1"/>
  <c r="M262" i="1" l="1"/>
  <c r="F263" i="1"/>
  <c r="G263" i="1"/>
  <c r="H263" i="1"/>
  <c r="I263" i="1"/>
  <c r="J263" i="1"/>
  <c r="K263" i="1"/>
  <c r="L263" i="1"/>
  <c r="A265" i="1"/>
  <c r="S265" i="1" s="1"/>
  <c r="T265" i="1" s="1"/>
  <c r="E264" i="1"/>
  <c r="M263" i="1" l="1"/>
  <c r="F264" i="1"/>
  <c r="G264" i="1"/>
  <c r="H264" i="1"/>
  <c r="I264" i="1"/>
  <c r="J264" i="1"/>
  <c r="K264" i="1"/>
  <c r="L264" i="1"/>
  <c r="A266" i="1"/>
  <c r="S266" i="1" s="1"/>
  <c r="T266" i="1" s="1"/>
  <c r="E265" i="1"/>
  <c r="M264" i="1" l="1"/>
  <c r="H265" i="1"/>
  <c r="I265" i="1"/>
  <c r="J265" i="1"/>
  <c r="K265" i="1"/>
  <c r="L265" i="1"/>
  <c r="F265" i="1"/>
  <c r="G265" i="1"/>
  <c r="A267" i="1"/>
  <c r="S267" i="1" s="1"/>
  <c r="T267" i="1" s="1"/>
  <c r="E266" i="1"/>
  <c r="M265" i="1" l="1"/>
  <c r="G266" i="1"/>
  <c r="H266" i="1"/>
  <c r="I266" i="1"/>
  <c r="J266" i="1"/>
  <c r="K266" i="1"/>
  <c r="L266" i="1"/>
  <c r="F266" i="1"/>
  <c r="A268" i="1"/>
  <c r="S268" i="1" s="1"/>
  <c r="T268" i="1" s="1"/>
  <c r="E267" i="1"/>
  <c r="M266" i="1" l="1"/>
  <c r="J267" i="1"/>
  <c r="K267" i="1"/>
  <c r="F267" i="1"/>
  <c r="G267" i="1"/>
  <c r="H267" i="1"/>
  <c r="I267" i="1"/>
  <c r="L267" i="1"/>
  <c r="A269" i="1"/>
  <c r="S269" i="1" s="1"/>
  <c r="T269" i="1" s="1"/>
  <c r="E268" i="1"/>
  <c r="M267" i="1" l="1"/>
  <c r="G268" i="1"/>
  <c r="H268" i="1"/>
  <c r="F268" i="1"/>
  <c r="I268" i="1"/>
  <c r="J268" i="1"/>
  <c r="K268" i="1"/>
  <c r="L268" i="1"/>
  <c r="A270" i="1"/>
  <c r="S270" i="1" s="1"/>
  <c r="T270" i="1" s="1"/>
  <c r="E269" i="1"/>
  <c r="M268" i="1" l="1"/>
  <c r="L269" i="1"/>
  <c r="F269" i="1"/>
  <c r="G269" i="1"/>
  <c r="H269" i="1"/>
  <c r="I269" i="1"/>
  <c r="J269" i="1"/>
  <c r="K269" i="1"/>
  <c r="A271" i="1"/>
  <c r="S271" i="1" s="1"/>
  <c r="T271" i="1" s="1"/>
  <c r="E270" i="1"/>
  <c r="M269" i="1" l="1"/>
  <c r="F270" i="1"/>
  <c r="K270" i="1"/>
  <c r="L270" i="1"/>
  <c r="G270" i="1"/>
  <c r="J270" i="1"/>
  <c r="I270" i="1"/>
  <c r="H270" i="1"/>
  <c r="A272" i="1"/>
  <c r="S272" i="1" s="1"/>
  <c r="T272" i="1" s="1"/>
  <c r="E271" i="1"/>
  <c r="M270" i="1" l="1"/>
  <c r="L271" i="1"/>
  <c r="H271" i="1"/>
  <c r="I271" i="1"/>
  <c r="J271" i="1"/>
  <c r="K271" i="1"/>
  <c r="G271" i="1"/>
  <c r="F271" i="1"/>
  <c r="A273" i="1"/>
  <c r="S273" i="1" s="1"/>
  <c r="T273" i="1" s="1"/>
  <c r="E272" i="1"/>
  <c r="M271" i="1" l="1"/>
  <c r="G272" i="1"/>
  <c r="H272" i="1"/>
  <c r="F272" i="1"/>
  <c r="I272" i="1"/>
  <c r="J272" i="1"/>
  <c r="K272" i="1"/>
  <c r="L272" i="1"/>
  <c r="A274" i="1"/>
  <c r="S274" i="1" s="1"/>
  <c r="T274" i="1" s="1"/>
  <c r="E273" i="1"/>
  <c r="M272" i="1" l="1"/>
  <c r="H273" i="1"/>
  <c r="I273" i="1"/>
  <c r="F273" i="1"/>
  <c r="G273" i="1"/>
  <c r="J273" i="1"/>
  <c r="K273" i="1"/>
  <c r="L273" i="1"/>
  <c r="A275" i="1"/>
  <c r="S275" i="1" s="1"/>
  <c r="T275" i="1" s="1"/>
  <c r="E274" i="1"/>
  <c r="M273" i="1" l="1"/>
  <c r="I274" i="1"/>
  <c r="L274" i="1"/>
  <c r="F274" i="1"/>
  <c r="G274" i="1"/>
  <c r="J274" i="1"/>
  <c r="K274" i="1"/>
  <c r="H274" i="1"/>
  <c r="A276" i="1"/>
  <c r="S276" i="1" s="1"/>
  <c r="T276" i="1" s="1"/>
  <c r="E275" i="1"/>
  <c r="K275" i="1" l="1"/>
  <c r="L275" i="1"/>
  <c r="M274" i="1"/>
  <c r="F275" i="1"/>
  <c r="G275" i="1"/>
  <c r="H275" i="1"/>
  <c r="I275" i="1"/>
  <c r="J275" i="1"/>
  <c r="A277" i="1"/>
  <c r="S277" i="1" s="1"/>
  <c r="T277" i="1" s="1"/>
  <c r="E276" i="1"/>
  <c r="M275" i="1" l="1"/>
  <c r="K276" i="1"/>
  <c r="F276" i="1"/>
  <c r="J276" i="1"/>
  <c r="L276" i="1"/>
  <c r="G276" i="1"/>
  <c r="H276" i="1"/>
  <c r="I276" i="1"/>
  <c r="A278" i="1"/>
  <c r="S278" i="1" s="1"/>
  <c r="T278" i="1" s="1"/>
  <c r="E277" i="1"/>
  <c r="M276" i="1" l="1"/>
  <c r="J277" i="1"/>
  <c r="K277" i="1"/>
  <c r="L277" i="1"/>
  <c r="F277" i="1"/>
  <c r="G277" i="1"/>
  <c r="H277" i="1"/>
  <c r="I277" i="1"/>
  <c r="A279" i="1"/>
  <c r="S279" i="1" s="1"/>
  <c r="T279" i="1" s="1"/>
  <c r="E278" i="1"/>
  <c r="M277" i="1" l="1"/>
  <c r="G278" i="1"/>
  <c r="H278" i="1"/>
  <c r="F278" i="1"/>
  <c r="I278" i="1"/>
  <c r="J278" i="1"/>
  <c r="K278" i="1"/>
  <c r="L278" i="1"/>
  <c r="A280" i="1"/>
  <c r="S280" i="1" s="1"/>
  <c r="T280" i="1" s="1"/>
  <c r="E279" i="1"/>
  <c r="M278" i="1" l="1"/>
  <c r="F279" i="1"/>
  <c r="G279" i="1"/>
  <c r="H279" i="1"/>
  <c r="I279" i="1"/>
  <c r="J279" i="1"/>
  <c r="K279" i="1"/>
  <c r="L279" i="1"/>
  <c r="A281" i="1"/>
  <c r="S281" i="1" s="1"/>
  <c r="T281" i="1" s="1"/>
  <c r="E280" i="1"/>
  <c r="M279" i="1" l="1"/>
  <c r="J280" i="1"/>
  <c r="K280" i="1"/>
  <c r="H280" i="1"/>
  <c r="I280" i="1"/>
  <c r="L280" i="1"/>
  <c r="F280" i="1"/>
  <c r="G280" i="1"/>
  <c r="A282" i="1"/>
  <c r="S282" i="1" s="1"/>
  <c r="T282" i="1" s="1"/>
  <c r="E281" i="1"/>
  <c r="M280" i="1" l="1"/>
  <c r="H281" i="1"/>
  <c r="F281" i="1"/>
  <c r="G281" i="1"/>
  <c r="I281" i="1"/>
  <c r="J281" i="1"/>
  <c r="L281" i="1"/>
  <c r="K281" i="1"/>
  <c r="A283" i="1"/>
  <c r="S283" i="1" s="1"/>
  <c r="T283" i="1" s="1"/>
  <c r="E282" i="1"/>
  <c r="M281" i="1" l="1"/>
  <c r="F282" i="1"/>
  <c r="G282" i="1"/>
  <c r="H282" i="1"/>
  <c r="I282" i="1"/>
  <c r="J282" i="1"/>
  <c r="K282" i="1"/>
  <c r="L282" i="1"/>
  <c r="A284" i="1"/>
  <c r="S284" i="1" s="1"/>
  <c r="T284" i="1" s="1"/>
  <c r="E283" i="1"/>
  <c r="M282" i="1" l="1"/>
  <c r="F283" i="1"/>
  <c r="G283" i="1"/>
  <c r="H283" i="1"/>
  <c r="I283" i="1"/>
  <c r="J283" i="1"/>
  <c r="K283" i="1"/>
  <c r="L283" i="1"/>
  <c r="A285" i="1"/>
  <c r="S285" i="1" s="1"/>
  <c r="T285" i="1" s="1"/>
  <c r="E284" i="1"/>
  <c r="M283" i="1" l="1"/>
  <c r="F284" i="1"/>
  <c r="G284" i="1"/>
  <c r="H284" i="1"/>
  <c r="I284" i="1"/>
  <c r="K284" i="1"/>
  <c r="J284" i="1"/>
  <c r="L284" i="1"/>
  <c r="A286" i="1"/>
  <c r="S286" i="1" s="1"/>
  <c r="T286" i="1" s="1"/>
  <c r="E285" i="1"/>
  <c r="M284" i="1" l="1"/>
  <c r="H285" i="1"/>
  <c r="I285" i="1"/>
  <c r="L285" i="1"/>
  <c r="K285" i="1"/>
  <c r="J285" i="1"/>
  <c r="F285" i="1"/>
  <c r="G285" i="1"/>
  <c r="A287" i="1"/>
  <c r="S287" i="1" s="1"/>
  <c r="T287" i="1" s="1"/>
  <c r="E286" i="1"/>
  <c r="M285" i="1" l="1"/>
  <c r="F286" i="1"/>
  <c r="G286" i="1"/>
  <c r="H286" i="1"/>
  <c r="I286" i="1"/>
  <c r="J286" i="1"/>
  <c r="K286" i="1"/>
  <c r="L286" i="1"/>
  <c r="A288" i="1"/>
  <c r="S288" i="1" s="1"/>
  <c r="T288" i="1" s="1"/>
  <c r="E287" i="1"/>
  <c r="M286" i="1" l="1"/>
  <c r="J287" i="1"/>
  <c r="K287" i="1"/>
  <c r="F287" i="1"/>
  <c r="G287" i="1"/>
  <c r="H287" i="1"/>
  <c r="I287" i="1"/>
  <c r="L287" i="1"/>
  <c r="A289" i="1"/>
  <c r="S289" i="1" s="1"/>
  <c r="T289" i="1" s="1"/>
  <c r="E288" i="1"/>
  <c r="M287" i="1" l="1"/>
  <c r="I288" i="1"/>
  <c r="J288" i="1"/>
  <c r="K288" i="1"/>
  <c r="L288" i="1"/>
  <c r="F288" i="1"/>
  <c r="G288" i="1"/>
  <c r="H288" i="1"/>
  <c r="A290" i="1"/>
  <c r="S290" i="1" s="1"/>
  <c r="T290" i="1" s="1"/>
  <c r="E289" i="1"/>
  <c r="M288" i="1" l="1"/>
  <c r="L289" i="1"/>
  <c r="F289" i="1"/>
  <c r="G289" i="1"/>
  <c r="H289" i="1"/>
  <c r="I289" i="1"/>
  <c r="J289" i="1"/>
  <c r="K289" i="1"/>
  <c r="A291" i="1"/>
  <c r="S291" i="1" s="1"/>
  <c r="T291" i="1" s="1"/>
  <c r="E290" i="1"/>
  <c r="M289" i="1" l="1"/>
  <c r="F290" i="1"/>
  <c r="J290" i="1"/>
  <c r="K290" i="1"/>
  <c r="L290" i="1"/>
  <c r="G290" i="1"/>
  <c r="H290" i="1"/>
  <c r="I290" i="1"/>
  <c r="A292" i="1"/>
  <c r="S292" i="1" s="1"/>
  <c r="T292" i="1" s="1"/>
  <c r="E291" i="1"/>
  <c r="M290" i="1" l="1"/>
  <c r="F291" i="1"/>
  <c r="G291" i="1"/>
  <c r="H291" i="1"/>
  <c r="I291" i="1"/>
  <c r="J291" i="1"/>
  <c r="K291" i="1"/>
  <c r="L291" i="1"/>
  <c r="A293" i="1"/>
  <c r="S293" i="1" s="1"/>
  <c r="T293" i="1" s="1"/>
  <c r="E292" i="1"/>
  <c r="M291" i="1" l="1"/>
  <c r="G292" i="1"/>
  <c r="H292" i="1"/>
  <c r="F292" i="1"/>
  <c r="I292" i="1"/>
  <c r="J292" i="1"/>
  <c r="K292" i="1"/>
  <c r="L292" i="1"/>
  <c r="A294" i="1"/>
  <c r="S294" i="1" s="1"/>
  <c r="T294" i="1" s="1"/>
  <c r="E293" i="1"/>
  <c r="M292" i="1" l="1"/>
  <c r="J293" i="1"/>
  <c r="K293" i="1"/>
  <c r="L293" i="1"/>
  <c r="F293" i="1"/>
  <c r="G293" i="1"/>
  <c r="H293" i="1"/>
  <c r="I293" i="1"/>
  <c r="A295" i="1"/>
  <c r="S295" i="1" s="1"/>
  <c r="T295" i="1" s="1"/>
  <c r="E294" i="1"/>
  <c r="M293" i="1" l="1"/>
  <c r="I294" i="1"/>
  <c r="J294" i="1"/>
  <c r="F294" i="1"/>
  <c r="G294" i="1"/>
  <c r="H294" i="1"/>
  <c r="K294" i="1"/>
  <c r="L294" i="1"/>
  <c r="A296" i="1"/>
  <c r="S296" i="1" s="1"/>
  <c r="T296" i="1" s="1"/>
  <c r="E295" i="1"/>
  <c r="M294" i="1" l="1"/>
  <c r="I295" i="1"/>
  <c r="J295" i="1"/>
  <c r="K295" i="1"/>
  <c r="L295" i="1"/>
  <c r="H295" i="1"/>
  <c r="F295" i="1"/>
  <c r="G295" i="1"/>
  <c r="A297" i="1"/>
  <c r="S297" i="1" s="1"/>
  <c r="T297" i="1" s="1"/>
  <c r="E296" i="1"/>
  <c r="M295" i="1" l="1"/>
  <c r="K296" i="1"/>
  <c r="L296" i="1"/>
  <c r="G296" i="1"/>
  <c r="H296" i="1"/>
  <c r="I296" i="1"/>
  <c r="J296" i="1"/>
  <c r="F296" i="1"/>
  <c r="A298" i="1"/>
  <c r="S298" i="1" s="1"/>
  <c r="T298" i="1" s="1"/>
  <c r="E297" i="1"/>
  <c r="M296" i="1" l="1"/>
  <c r="F297" i="1"/>
  <c r="G297" i="1"/>
  <c r="H297" i="1"/>
  <c r="I297" i="1"/>
  <c r="J297" i="1"/>
  <c r="K297" i="1"/>
  <c r="L297" i="1"/>
  <c r="A299" i="1"/>
  <c r="S299" i="1" s="1"/>
  <c r="T299" i="1" s="1"/>
  <c r="E298" i="1"/>
  <c r="M297" i="1" l="1"/>
  <c r="K298" i="1"/>
  <c r="L298" i="1"/>
  <c r="F298" i="1"/>
  <c r="J298" i="1"/>
  <c r="H298" i="1"/>
  <c r="I298" i="1"/>
  <c r="G298" i="1"/>
  <c r="A300" i="1"/>
  <c r="S300" i="1" s="1"/>
  <c r="T300" i="1" s="1"/>
  <c r="E299" i="1"/>
  <c r="M298" i="1" l="1"/>
  <c r="F299" i="1"/>
  <c r="G299" i="1"/>
  <c r="H299" i="1"/>
  <c r="I299" i="1"/>
  <c r="J299" i="1"/>
  <c r="K299" i="1"/>
  <c r="L299" i="1"/>
  <c r="A301" i="1"/>
  <c r="S301" i="1" s="1"/>
  <c r="T301" i="1" s="1"/>
  <c r="E300" i="1"/>
  <c r="M299" i="1" l="1"/>
  <c r="H300" i="1"/>
  <c r="I300" i="1"/>
  <c r="J300" i="1"/>
  <c r="K300" i="1"/>
  <c r="L300" i="1"/>
  <c r="F300" i="1"/>
  <c r="G300" i="1"/>
  <c r="A302" i="1"/>
  <c r="S302" i="1" s="1"/>
  <c r="T302" i="1" s="1"/>
  <c r="E301" i="1"/>
  <c r="M300" i="1" l="1"/>
  <c r="H301" i="1"/>
  <c r="I301" i="1"/>
  <c r="J301" i="1"/>
  <c r="K301" i="1"/>
  <c r="L301" i="1"/>
  <c r="F301" i="1"/>
  <c r="G301" i="1"/>
  <c r="A303" i="1"/>
  <c r="S303" i="1" s="1"/>
  <c r="T303" i="1" s="1"/>
  <c r="E302" i="1"/>
  <c r="M301" i="1" l="1"/>
  <c r="F302" i="1"/>
  <c r="G302" i="1"/>
  <c r="H302" i="1"/>
  <c r="I302" i="1"/>
  <c r="J302" i="1"/>
  <c r="K302" i="1"/>
  <c r="L302" i="1"/>
  <c r="A304" i="1"/>
  <c r="S304" i="1" s="1"/>
  <c r="T304" i="1" s="1"/>
  <c r="E303" i="1"/>
  <c r="M302" i="1" l="1"/>
  <c r="J303" i="1"/>
  <c r="K303" i="1"/>
  <c r="F303" i="1"/>
  <c r="G303" i="1"/>
  <c r="H303" i="1"/>
  <c r="I303" i="1"/>
  <c r="L303" i="1"/>
  <c r="A305" i="1"/>
  <c r="S305" i="1" s="1"/>
  <c r="T305" i="1" s="1"/>
  <c r="E304" i="1"/>
  <c r="M303" i="1" l="1"/>
  <c r="G304" i="1"/>
  <c r="H304" i="1"/>
  <c r="I304" i="1"/>
  <c r="J304" i="1"/>
  <c r="K304" i="1"/>
  <c r="L304" i="1"/>
  <c r="F304" i="1"/>
  <c r="A306" i="1"/>
  <c r="S306" i="1" s="1"/>
  <c r="T306" i="1" s="1"/>
  <c r="E305" i="1"/>
  <c r="M304" i="1" l="1"/>
  <c r="L305" i="1"/>
  <c r="F305" i="1"/>
  <c r="G305" i="1"/>
  <c r="H305" i="1"/>
  <c r="I305" i="1"/>
  <c r="J305" i="1"/>
  <c r="K305" i="1"/>
  <c r="A307" i="1"/>
  <c r="S307" i="1" s="1"/>
  <c r="T307" i="1" s="1"/>
  <c r="E306" i="1"/>
  <c r="M305" i="1" l="1"/>
  <c r="F306" i="1"/>
  <c r="K306" i="1"/>
  <c r="L306" i="1"/>
  <c r="G306" i="1"/>
  <c r="H306" i="1"/>
  <c r="I306" i="1"/>
  <c r="J306" i="1"/>
  <c r="A308" i="1"/>
  <c r="S308" i="1" s="1"/>
  <c r="T308" i="1" s="1"/>
  <c r="E307" i="1"/>
  <c r="M306" i="1" l="1"/>
  <c r="F307" i="1"/>
  <c r="G307" i="1"/>
  <c r="H307" i="1"/>
  <c r="I307" i="1"/>
  <c r="J307" i="1"/>
  <c r="K307" i="1"/>
  <c r="L307" i="1"/>
  <c r="A309" i="1"/>
  <c r="S309" i="1" s="1"/>
  <c r="T309" i="1" s="1"/>
  <c r="E308" i="1"/>
  <c r="M307" i="1" l="1"/>
  <c r="G308" i="1"/>
  <c r="H308" i="1"/>
  <c r="J308" i="1"/>
  <c r="L308" i="1"/>
  <c r="F308" i="1"/>
  <c r="K308" i="1"/>
  <c r="I308" i="1"/>
  <c r="A310" i="1"/>
  <c r="S310" i="1" s="1"/>
  <c r="T310" i="1" s="1"/>
  <c r="E309" i="1"/>
  <c r="M308" i="1" l="1"/>
  <c r="H309" i="1"/>
  <c r="I309" i="1"/>
  <c r="J309" i="1"/>
  <c r="K309" i="1"/>
  <c r="L309" i="1"/>
  <c r="F309" i="1"/>
  <c r="G309" i="1"/>
  <c r="A311" i="1"/>
  <c r="S311" i="1" s="1"/>
  <c r="T311" i="1" s="1"/>
  <c r="E310" i="1"/>
  <c r="M309" i="1" l="1"/>
  <c r="I310" i="1"/>
  <c r="J310" i="1"/>
  <c r="F310" i="1"/>
  <c r="G310" i="1"/>
  <c r="H310" i="1"/>
  <c r="K310" i="1"/>
  <c r="L310" i="1"/>
  <c r="A312" i="1"/>
  <c r="S312" i="1" s="1"/>
  <c r="T312" i="1" s="1"/>
  <c r="E311" i="1"/>
  <c r="M310" i="1" l="1"/>
  <c r="L311" i="1"/>
  <c r="F311" i="1"/>
  <c r="G311" i="1"/>
  <c r="H311" i="1"/>
  <c r="I311" i="1"/>
  <c r="J311" i="1"/>
  <c r="K311" i="1"/>
  <c r="A313" i="1"/>
  <c r="S313" i="1" s="1"/>
  <c r="T313" i="1" s="1"/>
  <c r="E312" i="1"/>
  <c r="M311" i="1" l="1"/>
  <c r="K312" i="1"/>
  <c r="L312" i="1"/>
  <c r="F312" i="1"/>
  <c r="G312" i="1"/>
  <c r="H312" i="1"/>
  <c r="I312" i="1"/>
  <c r="J312" i="1"/>
  <c r="A314" i="1"/>
  <c r="S314" i="1" s="1"/>
  <c r="T314" i="1" s="1"/>
  <c r="E313" i="1"/>
  <c r="M312" i="1" l="1"/>
  <c r="F313" i="1"/>
  <c r="L313" i="1"/>
  <c r="G313" i="1"/>
  <c r="H313" i="1"/>
  <c r="I313" i="1"/>
  <c r="J313" i="1"/>
  <c r="K313" i="1"/>
  <c r="A315" i="1"/>
  <c r="S315" i="1" s="1"/>
  <c r="T315" i="1" s="1"/>
  <c r="E314" i="1"/>
  <c r="M313" i="1" l="1"/>
  <c r="I314" i="1"/>
  <c r="J314" i="1"/>
  <c r="K314" i="1"/>
  <c r="L314" i="1"/>
  <c r="F314" i="1"/>
  <c r="G314" i="1"/>
  <c r="H314" i="1"/>
  <c r="A316" i="1"/>
  <c r="S316" i="1" s="1"/>
  <c r="T316" i="1" s="1"/>
  <c r="E315" i="1"/>
  <c r="M314" i="1" l="1"/>
  <c r="F315" i="1"/>
  <c r="G315" i="1"/>
  <c r="H315" i="1"/>
  <c r="I315" i="1"/>
  <c r="J315" i="1"/>
  <c r="K315" i="1"/>
  <c r="L315" i="1"/>
  <c r="A317" i="1"/>
  <c r="S317" i="1" s="1"/>
  <c r="T317" i="1" s="1"/>
  <c r="E316" i="1"/>
  <c r="M315" i="1" l="1"/>
  <c r="F316" i="1"/>
  <c r="G316" i="1"/>
  <c r="I316" i="1"/>
  <c r="H316" i="1"/>
  <c r="J316" i="1"/>
  <c r="K316" i="1"/>
  <c r="L316" i="1"/>
  <c r="A318" i="1"/>
  <c r="S318" i="1" s="1"/>
  <c r="T318" i="1" s="1"/>
  <c r="E317" i="1"/>
  <c r="M316" i="1" l="1"/>
  <c r="H317" i="1"/>
  <c r="I317" i="1"/>
  <c r="F317" i="1"/>
  <c r="G317" i="1"/>
  <c r="J317" i="1"/>
  <c r="K317" i="1"/>
  <c r="L317" i="1"/>
  <c r="A319" i="1"/>
  <c r="S319" i="1" s="1"/>
  <c r="T319" i="1" s="1"/>
  <c r="E318" i="1"/>
  <c r="M317" i="1" l="1"/>
  <c r="F318" i="1"/>
  <c r="G318" i="1"/>
  <c r="K318" i="1"/>
  <c r="L318" i="1"/>
  <c r="J318" i="1"/>
  <c r="H318" i="1"/>
  <c r="I318" i="1"/>
  <c r="A320" i="1"/>
  <c r="S320" i="1" s="1"/>
  <c r="T320" i="1" s="1"/>
  <c r="E319" i="1"/>
  <c r="M318" i="1" l="1"/>
  <c r="J319" i="1"/>
  <c r="K319" i="1"/>
  <c r="L319" i="1"/>
  <c r="F319" i="1"/>
  <c r="G319" i="1"/>
  <c r="H319" i="1"/>
  <c r="I319" i="1"/>
  <c r="A321" i="1"/>
  <c r="S321" i="1" s="1"/>
  <c r="T321" i="1" s="1"/>
  <c r="E320" i="1"/>
  <c r="M319" i="1" l="1"/>
  <c r="F320" i="1"/>
  <c r="G320" i="1"/>
  <c r="H320" i="1"/>
  <c r="I320" i="1"/>
  <c r="J320" i="1"/>
  <c r="K320" i="1"/>
  <c r="L320" i="1"/>
  <c r="A322" i="1"/>
  <c r="S322" i="1" s="1"/>
  <c r="T322" i="1" s="1"/>
  <c r="E321" i="1"/>
  <c r="M320" i="1" l="1"/>
  <c r="L321" i="1"/>
  <c r="F321" i="1"/>
  <c r="H321" i="1"/>
  <c r="J321" i="1"/>
  <c r="K321" i="1"/>
  <c r="G321" i="1"/>
  <c r="I321" i="1"/>
  <c r="A323" i="1"/>
  <c r="S323" i="1" s="1"/>
  <c r="T323" i="1" s="1"/>
  <c r="E322" i="1"/>
  <c r="M321" i="1" l="1"/>
  <c r="F322" i="1"/>
  <c r="I322" i="1"/>
  <c r="J322" i="1"/>
  <c r="K322" i="1"/>
  <c r="L322" i="1"/>
  <c r="G322" i="1"/>
  <c r="H322" i="1"/>
  <c r="A324" i="1"/>
  <c r="S324" i="1" s="1"/>
  <c r="T324" i="1" s="1"/>
  <c r="E323" i="1"/>
  <c r="M322" i="1" l="1"/>
  <c r="F323" i="1"/>
  <c r="G323" i="1"/>
  <c r="H323" i="1"/>
  <c r="J323" i="1"/>
  <c r="K323" i="1"/>
  <c r="L323" i="1"/>
  <c r="I323" i="1"/>
  <c r="A325" i="1"/>
  <c r="S325" i="1" s="1"/>
  <c r="T325" i="1" s="1"/>
  <c r="E324" i="1"/>
  <c r="M323" i="1" l="1"/>
  <c r="G324" i="1"/>
  <c r="H324" i="1"/>
  <c r="F324" i="1"/>
  <c r="I324" i="1"/>
  <c r="K324" i="1"/>
  <c r="L324" i="1"/>
  <c r="J324" i="1"/>
  <c r="A326" i="1"/>
  <c r="S326" i="1" s="1"/>
  <c r="T326" i="1" s="1"/>
  <c r="E325" i="1"/>
  <c r="M324" i="1" l="1"/>
  <c r="F325" i="1"/>
  <c r="G325" i="1"/>
  <c r="H325" i="1"/>
  <c r="I325" i="1"/>
  <c r="J325" i="1"/>
  <c r="K325" i="1"/>
  <c r="L325" i="1"/>
  <c r="A327" i="1"/>
  <c r="S327" i="1" s="1"/>
  <c r="T327" i="1" s="1"/>
  <c r="E326" i="1"/>
  <c r="M325" i="1" l="1"/>
  <c r="I326" i="1"/>
  <c r="J326" i="1"/>
  <c r="G326" i="1"/>
  <c r="F326" i="1"/>
  <c r="H326" i="1"/>
  <c r="K326" i="1"/>
  <c r="L326" i="1"/>
  <c r="A328" i="1"/>
  <c r="S328" i="1" s="1"/>
  <c r="T328" i="1" s="1"/>
  <c r="E327" i="1"/>
  <c r="M326" i="1" l="1"/>
  <c r="J327" i="1"/>
  <c r="K327" i="1"/>
  <c r="L327" i="1"/>
  <c r="I327" i="1"/>
  <c r="H327" i="1"/>
  <c r="F327" i="1"/>
  <c r="G327" i="1"/>
  <c r="A329" i="1"/>
  <c r="S329" i="1" s="1"/>
  <c r="T329" i="1" s="1"/>
  <c r="E328" i="1"/>
  <c r="M327" i="1" l="1"/>
  <c r="K328" i="1"/>
  <c r="L328" i="1"/>
  <c r="F328" i="1"/>
  <c r="G328" i="1"/>
  <c r="H328" i="1"/>
  <c r="I328" i="1"/>
  <c r="J328" i="1"/>
  <c r="A330" i="1"/>
  <c r="S330" i="1" s="1"/>
  <c r="T330" i="1" s="1"/>
  <c r="E329" i="1"/>
  <c r="M328" i="1" l="1"/>
  <c r="F329" i="1"/>
  <c r="G329" i="1"/>
  <c r="H329" i="1"/>
  <c r="J329" i="1"/>
  <c r="K329" i="1"/>
  <c r="L329" i="1"/>
  <c r="I329" i="1"/>
  <c r="A331" i="1"/>
  <c r="S331" i="1" s="1"/>
  <c r="T331" i="1" s="1"/>
  <c r="E330" i="1"/>
  <c r="M329" i="1" l="1"/>
  <c r="G330" i="1"/>
  <c r="H330" i="1"/>
  <c r="I330" i="1"/>
  <c r="J330" i="1"/>
  <c r="K330" i="1"/>
  <c r="L330" i="1"/>
  <c r="F330" i="1"/>
  <c r="A332" i="1"/>
  <c r="S332" i="1" s="1"/>
  <c r="T332" i="1" s="1"/>
  <c r="E331" i="1"/>
  <c r="M330" i="1" l="1"/>
  <c r="F331" i="1"/>
  <c r="G331" i="1"/>
  <c r="H331" i="1"/>
  <c r="J331" i="1"/>
  <c r="K331" i="1"/>
  <c r="L331" i="1"/>
  <c r="I331" i="1"/>
  <c r="A333" i="1"/>
  <c r="S333" i="1" s="1"/>
  <c r="T333" i="1" s="1"/>
  <c r="E332" i="1"/>
  <c r="M331" i="1" l="1"/>
  <c r="K332" i="1"/>
  <c r="L332" i="1"/>
  <c r="H332" i="1"/>
  <c r="I332" i="1"/>
  <c r="J332" i="1"/>
  <c r="F332" i="1"/>
  <c r="G332" i="1"/>
  <c r="A334" i="1"/>
  <c r="S334" i="1" s="1"/>
  <c r="T334" i="1" s="1"/>
  <c r="E333" i="1"/>
  <c r="M332" i="1" l="1"/>
  <c r="H333" i="1"/>
  <c r="F333" i="1"/>
  <c r="G333" i="1"/>
  <c r="I333" i="1"/>
  <c r="J333" i="1"/>
  <c r="K333" i="1"/>
  <c r="L333" i="1"/>
  <c r="A335" i="1"/>
  <c r="S335" i="1" s="1"/>
  <c r="T335" i="1" s="1"/>
  <c r="E334" i="1"/>
  <c r="M333" i="1" l="1"/>
  <c r="F334" i="1"/>
  <c r="H334" i="1"/>
  <c r="I334" i="1"/>
  <c r="K334" i="1"/>
  <c r="G334" i="1"/>
  <c r="J334" i="1"/>
  <c r="L334" i="1"/>
  <c r="A336" i="1"/>
  <c r="S336" i="1" s="1"/>
  <c r="T336" i="1" s="1"/>
  <c r="E335" i="1"/>
  <c r="M334" i="1" l="1"/>
  <c r="J335" i="1"/>
  <c r="G335" i="1"/>
  <c r="H335" i="1"/>
  <c r="I335" i="1"/>
  <c r="K335" i="1"/>
  <c r="L335" i="1"/>
  <c r="F335" i="1"/>
  <c r="A337" i="1"/>
  <c r="S337" i="1" s="1"/>
  <c r="T337" i="1" s="1"/>
  <c r="E336" i="1"/>
  <c r="M335" i="1" l="1"/>
  <c r="F336" i="1"/>
  <c r="G336" i="1"/>
  <c r="L336" i="1"/>
  <c r="H336" i="1"/>
  <c r="K336" i="1"/>
  <c r="I336" i="1"/>
  <c r="J336" i="1"/>
  <c r="A338" i="1"/>
  <c r="S338" i="1" s="1"/>
  <c r="T338" i="1" s="1"/>
  <c r="E337" i="1"/>
  <c r="M336" i="1" l="1"/>
  <c r="L337" i="1"/>
  <c r="J337" i="1"/>
  <c r="K337" i="1"/>
  <c r="F337" i="1"/>
  <c r="G337" i="1"/>
  <c r="H337" i="1"/>
  <c r="I337" i="1"/>
  <c r="A339" i="1"/>
  <c r="S339" i="1" s="1"/>
  <c r="T339" i="1" s="1"/>
  <c r="E338" i="1"/>
  <c r="M337" i="1" l="1"/>
  <c r="F338" i="1"/>
  <c r="G338" i="1"/>
  <c r="H338" i="1"/>
  <c r="I338" i="1"/>
  <c r="K338" i="1"/>
  <c r="L338" i="1"/>
  <c r="J338" i="1"/>
  <c r="A340" i="1"/>
  <c r="S340" i="1" s="1"/>
  <c r="T340" i="1" s="1"/>
  <c r="E339" i="1"/>
  <c r="M338" i="1" l="1"/>
  <c r="G339" i="1"/>
  <c r="I339" i="1"/>
  <c r="J339" i="1"/>
  <c r="K339" i="1"/>
  <c r="L339" i="1"/>
  <c r="F339" i="1"/>
  <c r="H339" i="1"/>
  <c r="A341" i="1"/>
  <c r="S341" i="1" s="1"/>
  <c r="T341" i="1" s="1"/>
  <c r="E340" i="1"/>
  <c r="M339" i="1" l="1"/>
  <c r="F340" i="1"/>
  <c r="G340" i="1"/>
  <c r="H340" i="1"/>
  <c r="I340" i="1"/>
  <c r="J340" i="1"/>
  <c r="L340" i="1"/>
  <c r="K340" i="1"/>
  <c r="A342" i="1"/>
  <c r="S342" i="1" s="1"/>
  <c r="T342" i="1" s="1"/>
  <c r="E341" i="1"/>
  <c r="M340" i="1" l="1"/>
  <c r="F341" i="1"/>
  <c r="G341" i="1"/>
  <c r="H341" i="1"/>
  <c r="I341" i="1"/>
  <c r="K341" i="1"/>
  <c r="L341" i="1"/>
  <c r="J341" i="1"/>
  <c r="A343" i="1"/>
  <c r="S343" i="1" s="1"/>
  <c r="T343" i="1" s="1"/>
  <c r="E342" i="1"/>
  <c r="M341" i="1" l="1"/>
  <c r="H342" i="1"/>
  <c r="I342" i="1"/>
  <c r="J342" i="1"/>
  <c r="K342" i="1"/>
  <c r="L342" i="1"/>
  <c r="G342" i="1"/>
  <c r="F342" i="1"/>
  <c r="A344" i="1"/>
  <c r="S344" i="1" s="1"/>
  <c r="T344" i="1" s="1"/>
  <c r="E343" i="1"/>
  <c r="M342" i="1" l="1"/>
  <c r="L343" i="1"/>
  <c r="F343" i="1"/>
  <c r="G343" i="1"/>
  <c r="H343" i="1"/>
  <c r="K343" i="1"/>
  <c r="I343" i="1"/>
  <c r="J343" i="1"/>
  <c r="A345" i="1"/>
  <c r="S345" i="1" s="1"/>
  <c r="T345" i="1" s="1"/>
  <c r="E344" i="1"/>
  <c r="M343" i="1" l="1"/>
  <c r="J344" i="1"/>
  <c r="K344" i="1"/>
  <c r="L344" i="1"/>
  <c r="F344" i="1"/>
  <c r="G344" i="1"/>
  <c r="H344" i="1"/>
  <c r="I344" i="1"/>
  <c r="A346" i="1"/>
  <c r="S346" i="1" s="1"/>
  <c r="T346" i="1" s="1"/>
  <c r="E345" i="1"/>
  <c r="M344" i="1" l="1"/>
  <c r="F345" i="1"/>
  <c r="G345" i="1"/>
  <c r="I345" i="1"/>
  <c r="J345" i="1"/>
  <c r="L345" i="1"/>
  <c r="K345" i="1"/>
  <c r="H345" i="1"/>
  <c r="A347" i="1"/>
  <c r="S347" i="1" s="1"/>
  <c r="T347" i="1" s="1"/>
  <c r="E346" i="1"/>
  <c r="M345" i="1" l="1"/>
  <c r="L346" i="1"/>
  <c r="G346" i="1"/>
  <c r="H346" i="1"/>
  <c r="I346" i="1"/>
  <c r="J346" i="1"/>
  <c r="K346" i="1"/>
  <c r="F346" i="1"/>
  <c r="A348" i="1"/>
  <c r="S348" i="1" s="1"/>
  <c r="T348" i="1" s="1"/>
  <c r="E347" i="1"/>
  <c r="M346" i="1" l="1"/>
  <c r="F347" i="1"/>
  <c r="G347" i="1"/>
  <c r="H347" i="1"/>
  <c r="I347" i="1"/>
  <c r="J347" i="1"/>
  <c r="K347" i="1"/>
  <c r="L347" i="1"/>
  <c r="A349" i="1"/>
  <c r="S349" i="1" s="1"/>
  <c r="T349" i="1" s="1"/>
  <c r="E348" i="1"/>
  <c r="M347" i="1" l="1"/>
  <c r="F348" i="1"/>
  <c r="G348" i="1"/>
  <c r="I348" i="1"/>
  <c r="L348" i="1"/>
  <c r="H348" i="1"/>
  <c r="J348" i="1"/>
  <c r="K348" i="1"/>
  <c r="A350" i="1"/>
  <c r="S350" i="1" s="1"/>
  <c r="T350" i="1" s="1"/>
  <c r="E349" i="1"/>
  <c r="M348" i="1" l="1"/>
  <c r="G349" i="1"/>
  <c r="H349" i="1"/>
  <c r="I349" i="1"/>
  <c r="K349" i="1"/>
  <c r="F349" i="1"/>
  <c r="J349" i="1"/>
  <c r="L349" i="1"/>
  <c r="A351" i="1"/>
  <c r="S351" i="1" s="1"/>
  <c r="T351" i="1" s="1"/>
  <c r="E350" i="1"/>
  <c r="M349" i="1" l="1"/>
  <c r="I350" i="1"/>
  <c r="J350" i="1"/>
  <c r="K350" i="1"/>
  <c r="L350" i="1"/>
  <c r="G350" i="1"/>
  <c r="F350" i="1"/>
  <c r="H350" i="1"/>
  <c r="A352" i="1"/>
  <c r="S352" i="1" s="1"/>
  <c r="T352" i="1" s="1"/>
  <c r="E351" i="1"/>
  <c r="M350" i="1" l="1"/>
  <c r="I351" i="1"/>
  <c r="J351" i="1"/>
  <c r="K351" i="1"/>
  <c r="F351" i="1"/>
  <c r="H351" i="1"/>
  <c r="G351" i="1"/>
  <c r="L351" i="1"/>
  <c r="A353" i="1"/>
  <c r="S353" i="1" s="1"/>
  <c r="T353" i="1" s="1"/>
  <c r="E352" i="1"/>
  <c r="M351" i="1" l="1"/>
  <c r="F352" i="1"/>
  <c r="H352" i="1"/>
  <c r="G352" i="1"/>
  <c r="I352" i="1"/>
  <c r="J352" i="1"/>
  <c r="K352" i="1"/>
  <c r="L352" i="1"/>
  <c r="A354" i="1"/>
  <c r="S354" i="1" s="1"/>
  <c r="T354" i="1" s="1"/>
  <c r="E353" i="1"/>
  <c r="M352" i="1" l="1"/>
  <c r="K353" i="1"/>
  <c r="L353" i="1"/>
  <c r="H353" i="1"/>
  <c r="I353" i="1"/>
  <c r="J353" i="1"/>
  <c r="F353" i="1"/>
  <c r="G353" i="1"/>
  <c r="A355" i="1"/>
  <c r="S355" i="1" s="1"/>
  <c r="T355" i="1" s="1"/>
  <c r="E354" i="1"/>
  <c r="M353" i="1" l="1"/>
  <c r="F354" i="1"/>
  <c r="H354" i="1"/>
  <c r="G354" i="1"/>
  <c r="I354" i="1"/>
  <c r="K354" i="1"/>
  <c r="J354" i="1"/>
  <c r="L354" i="1"/>
  <c r="A356" i="1"/>
  <c r="S356" i="1" s="1"/>
  <c r="T356" i="1" s="1"/>
  <c r="E355" i="1"/>
  <c r="M354" i="1" l="1"/>
  <c r="G355" i="1"/>
  <c r="F355" i="1"/>
  <c r="J355" i="1"/>
  <c r="L355" i="1"/>
  <c r="H355" i="1"/>
  <c r="K355" i="1"/>
  <c r="I355" i="1"/>
  <c r="A357" i="1"/>
  <c r="S357" i="1" s="1"/>
  <c r="T357" i="1" s="1"/>
  <c r="E356" i="1"/>
  <c r="M355" i="1" l="1"/>
  <c r="F356" i="1"/>
  <c r="G356" i="1"/>
  <c r="H356" i="1"/>
  <c r="J356" i="1"/>
  <c r="K356" i="1"/>
  <c r="L356" i="1"/>
  <c r="I356" i="1"/>
  <c r="A358" i="1"/>
  <c r="S358" i="1" s="1"/>
  <c r="T358" i="1" s="1"/>
  <c r="E357" i="1"/>
  <c r="M356" i="1" l="1"/>
  <c r="F357" i="1"/>
  <c r="G357" i="1"/>
  <c r="H357" i="1"/>
  <c r="J357" i="1"/>
  <c r="I357" i="1"/>
  <c r="K357" i="1"/>
  <c r="L357" i="1"/>
  <c r="A359" i="1"/>
  <c r="S359" i="1" s="1"/>
  <c r="T359" i="1" s="1"/>
  <c r="E358" i="1"/>
  <c r="M357" i="1" l="1"/>
  <c r="H358" i="1"/>
  <c r="I358" i="1"/>
  <c r="J358" i="1"/>
  <c r="L358" i="1"/>
  <c r="F358" i="1"/>
  <c r="G358" i="1"/>
  <c r="K358" i="1"/>
  <c r="A360" i="1"/>
  <c r="S360" i="1" s="1"/>
  <c r="T360" i="1" s="1"/>
  <c r="E359" i="1"/>
  <c r="M358" i="1" l="1"/>
  <c r="J359" i="1"/>
  <c r="K359" i="1"/>
  <c r="L359" i="1"/>
  <c r="F359" i="1"/>
  <c r="G359" i="1"/>
  <c r="H359" i="1"/>
  <c r="I359" i="1"/>
  <c r="A361" i="1"/>
  <c r="S361" i="1" s="1"/>
  <c r="T361" i="1" s="1"/>
  <c r="E360" i="1"/>
  <c r="M359" i="1" l="1"/>
  <c r="J360" i="1"/>
  <c r="K360" i="1"/>
  <c r="L360" i="1"/>
  <c r="F360" i="1"/>
  <c r="G360" i="1"/>
  <c r="I360" i="1"/>
  <c r="H360" i="1"/>
  <c r="A362" i="1"/>
  <c r="S362" i="1" s="1"/>
  <c r="T362" i="1" s="1"/>
  <c r="E361" i="1"/>
  <c r="M360" i="1" l="1"/>
  <c r="G361" i="1"/>
  <c r="I361" i="1"/>
  <c r="J361" i="1"/>
  <c r="L361" i="1"/>
  <c r="F361" i="1"/>
  <c r="H361" i="1"/>
  <c r="K361" i="1"/>
  <c r="A363" i="1"/>
  <c r="S363" i="1" s="1"/>
  <c r="T363" i="1" s="1"/>
  <c r="E362" i="1"/>
  <c r="M361" i="1" l="1"/>
  <c r="L362" i="1"/>
  <c r="I362" i="1"/>
  <c r="J362" i="1"/>
  <c r="K362" i="1"/>
  <c r="G362" i="1"/>
  <c r="H362" i="1"/>
  <c r="F362" i="1"/>
  <c r="A364" i="1"/>
  <c r="S364" i="1" s="1"/>
  <c r="T364" i="1" s="1"/>
  <c r="E363" i="1"/>
  <c r="M362" i="1" l="1"/>
  <c r="F363" i="1"/>
  <c r="G363" i="1"/>
  <c r="H363" i="1"/>
  <c r="I363" i="1"/>
  <c r="K363" i="1"/>
  <c r="J363" i="1"/>
  <c r="L363" i="1"/>
  <c r="A365" i="1"/>
  <c r="S365" i="1" s="1"/>
  <c r="T365" i="1" s="1"/>
  <c r="E364" i="1"/>
  <c r="M363" i="1" l="1"/>
  <c r="G364" i="1"/>
  <c r="F364" i="1"/>
  <c r="H364" i="1"/>
  <c r="I364" i="1"/>
  <c r="J364" i="1"/>
  <c r="K364" i="1"/>
  <c r="L364" i="1"/>
  <c r="A366" i="1"/>
  <c r="S366" i="1" s="1"/>
  <c r="T366" i="1" s="1"/>
  <c r="E365" i="1"/>
  <c r="M364" i="1" l="1"/>
  <c r="G365" i="1"/>
  <c r="H365" i="1"/>
  <c r="I365" i="1"/>
  <c r="J365" i="1"/>
  <c r="K365" i="1"/>
  <c r="L365" i="1"/>
  <c r="F365" i="1"/>
  <c r="A367" i="1"/>
  <c r="S367" i="1" s="1"/>
  <c r="T367" i="1" s="1"/>
  <c r="E366" i="1"/>
  <c r="M365" i="1" l="1"/>
  <c r="F366" i="1"/>
  <c r="G366" i="1"/>
  <c r="I366" i="1"/>
  <c r="L366" i="1"/>
  <c r="J366" i="1"/>
  <c r="H366" i="1"/>
  <c r="K366" i="1"/>
  <c r="A368" i="1"/>
  <c r="S368" i="1" s="1"/>
  <c r="T368" i="1" s="1"/>
  <c r="E367" i="1"/>
  <c r="M366" i="1" l="1"/>
  <c r="I367" i="1"/>
  <c r="J367" i="1"/>
  <c r="K367" i="1"/>
  <c r="H367" i="1"/>
  <c r="L367" i="1"/>
  <c r="F367" i="1"/>
  <c r="G367" i="1"/>
  <c r="A369" i="1"/>
  <c r="S369" i="1" s="1"/>
  <c r="T369" i="1" s="1"/>
  <c r="E368" i="1"/>
  <c r="M367" i="1" l="1"/>
  <c r="H368" i="1"/>
  <c r="I368" i="1"/>
  <c r="J368" i="1"/>
  <c r="K368" i="1"/>
  <c r="L368" i="1"/>
  <c r="F368" i="1"/>
  <c r="G368" i="1"/>
  <c r="A370" i="1"/>
  <c r="S370" i="1" s="1"/>
  <c r="T370" i="1" s="1"/>
  <c r="E369" i="1"/>
  <c r="M368" i="1" l="1"/>
  <c r="K369" i="1"/>
  <c r="L369" i="1"/>
  <c r="G369" i="1"/>
  <c r="J369" i="1"/>
  <c r="F369" i="1"/>
  <c r="H369" i="1"/>
  <c r="I369" i="1"/>
  <c r="A371" i="1"/>
  <c r="S371" i="1" s="1"/>
  <c r="T371" i="1" s="1"/>
  <c r="E370" i="1"/>
  <c r="M369" i="1" l="1"/>
  <c r="F370" i="1"/>
  <c r="G370" i="1"/>
  <c r="H370" i="1"/>
  <c r="I370" i="1"/>
  <c r="L370" i="1"/>
  <c r="J370" i="1"/>
  <c r="K370" i="1"/>
  <c r="A372" i="1"/>
  <c r="S372" i="1" s="1"/>
  <c r="T372" i="1" s="1"/>
  <c r="E371" i="1"/>
  <c r="M370" i="1" l="1"/>
  <c r="F371" i="1"/>
  <c r="G371" i="1"/>
  <c r="H371" i="1"/>
  <c r="I371" i="1"/>
  <c r="J371" i="1"/>
  <c r="L371" i="1"/>
  <c r="K371" i="1"/>
  <c r="A373" i="1"/>
  <c r="S373" i="1" s="1"/>
  <c r="T373" i="1" s="1"/>
  <c r="E372" i="1"/>
  <c r="M371" i="1" l="1"/>
  <c r="F372" i="1"/>
  <c r="G372" i="1"/>
  <c r="H372" i="1"/>
  <c r="K372" i="1"/>
  <c r="L372" i="1"/>
  <c r="I372" i="1"/>
  <c r="J372" i="1"/>
  <c r="A374" i="1"/>
  <c r="S374" i="1" s="1"/>
  <c r="T374" i="1" s="1"/>
  <c r="E373" i="1"/>
  <c r="M372" i="1" l="1"/>
  <c r="K373" i="1"/>
  <c r="L373" i="1"/>
  <c r="F373" i="1"/>
  <c r="G373" i="1"/>
  <c r="H373" i="1"/>
  <c r="I373" i="1"/>
  <c r="J373" i="1"/>
  <c r="A375" i="1"/>
  <c r="S375" i="1" s="1"/>
  <c r="T375" i="1" s="1"/>
  <c r="E374" i="1"/>
  <c r="M373" i="1" l="1"/>
  <c r="H374" i="1"/>
  <c r="I374" i="1"/>
  <c r="J374" i="1"/>
  <c r="F374" i="1"/>
  <c r="G374" i="1"/>
  <c r="K374" i="1"/>
  <c r="L374" i="1"/>
  <c r="A376" i="1"/>
  <c r="S376" i="1" s="1"/>
  <c r="T376" i="1" s="1"/>
  <c r="E375" i="1"/>
  <c r="M374" i="1" l="1"/>
  <c r="F375" i="1"/>
  <c r="I375" i="1"/>
  <c r="G375" i="1"/>
  <c r="H375" i="1"/>
  <c r="J375" i="1"/>
  <c r="L375" i="1"/>
  <c r="K375" i="1"/>
  <c r="A377" i="1"/>
  <c r="S377" i="1" s="1"/>
  <c r="T377" i="1" s="1"/>
  <c r="E376" i="1"/>
  <c r="M375" i="1" l="1"/>
  <c r="J376" i="1"/>
  <c r="K376" i="1"/>
  <c r="L376" i="1"/>
  <c r="I376" i="1"/>
  <c r="F376" i="1"/>
  <c r="H376" i="1"/>
  <c r="G376" i="1"/>
  <c r="A378" i="1"/>
  <c r="S378" i="1" s="1"/>
  <c r="T378" i="1" s="1"/>
  <c r="E377" i="1"/>
  <c r="M376" i="1" l="1"/>
  <c r="F377" i="1"/>
  <c r="G377" i="1"/>
  <c r="H377" i="1"/>
  <c r="I377" i="1"/>
  <c r="K377" i="1"/>
  <c r="L377" i="1"/>
  <c r="J377" i="1"/>
  <c r="A379" i="1"/>
  <c r="S379" i="1" s="1"/>
  <c r="T379" i="1" s="1"/>
  <c r="E378" i="1"/>
  <c r="M377" i="1" l="1"/>
  <c r="L378" i="1"/>
  <c r="G378" i="1"/>
  <c r="F378" i="1"/>
  <c r="H378" i="1"/>
  <c r="I378" i="1"/>
  <c r="J378" i="1"/>
  <c r="K378" i="1"/>
  <c r="A380" i="1"/>
  <c r="S380" i="1" s="1"/>
  <c r="T380" i="1" s="1"/>
  <c r="E379" i="1"/>
  <c r="M378" i="1" l="1"/>
  <c r="F379" i="1"/>
  <c r="G379" i="1"/>
  <c r="J379" i="1"/>
  <c r="K379" i="1"/>
  <c r="L379" i="1"/>
  <c r="H379" i="1"/>
  <c r="I379" i="1"/>
  <c r="A381" i="1"/>
  <c r="S381" i="1" s="1"/>
  <c r="T381" i="1" s="1"/>
  <c r="E380" i="1"/>
  <c r="M379" i="1" l="1"/>
  <c r="F380" i="1"/>
  <c r="G380" i="1"/>
  <c r="I380" i="1"/>
  <c r="L380" i="1"/>
  <c r="H380" i="1"/>
  <c r="J380" i="1"/>
  <c r="K380" i="1"/>
  <c r="A382" i="1"/>
  <c r="S382" i="1" s="1"/>
  <c r="T382" i="1" s="1"/>
  <c r="E381" i="1"/>
  <c r="M380" i="1" l="1"/>
  <c r="G381" i="1"/>
  <c r="H381" i="1"/>
  <c r="I381" i="1"/>
  <c r="J381" i="1"/>
  <c r="L381" i="1"/>
  <c r="F381" i="1"/>
  <c r="K381" i="1"/>
  <c r="A383" i="1"/>
  <c r="S383" i="1" s="1"/>
  <c r="T383" i="1" s="1"/>
  <c r="E382" i="1"/>
  <c r="M381" i="1" l="1"/>
  <c r="H382" i="1"/>
  <c r="I382" i="1"/>
  <c r="J382" i="1"/>
  <c r="K382" i="1"/>
  <c r="L382" i="1"/>
  <c r="G382" i="1"/>
  <c r="F382" i="1"/>
  <c r="A384" i="1"/>
  <c r="S384" i="1" s="1"/>
  <c r="T384" i="1" s="1"/>
  <c r="E383" i="1"/>
  <c r="M382" i="1" l="1"/>
  <c r="I383" i="1"/>
  <c r="J383" i="1"/>
  <c r="K383" i="1"/>
  <c r="G383" i="1"/>
  <c r="F383" i="1"/>
  <c r="H383" i="1"/>
  <c r="L383" i="1"/>
  <c r="A385" i="1"/>
  <c r="S385" i="1" s="1"/>
  <c r="T385" i="1" s="1"/>
  <c r="E384" i="1"/>
  <c r="M383" i="1" l="1"/>
  <c r="F384" i="1"/>
  <c r="G384" i="1"/>
  <c r="H384" i="1"/>
  <c r="I384" i="1"/>
  <c r="J384" i="1"/>
  <c r="K384" i="1"/>
  <c r="L384" i="1"/>
  <c r="A386" i="1"/>
  <c r="S386" i="1" s="1"/>
  <c r="T386" i="1" s="1"/>
  <c r="E385" i="1"/>
  <c r="M384" i="1" l="1"/>
  <c r="K385" i="1"/>
  <c r="L385" i="1"/>
  <c r="F385" i="1"/>
  <c r="G385" i="1"/>
  <c r="H385" i="1"/>
  <c r="I385" i="1"/>
  <c r="J385" i="1"/>
  <c r="A387" i="1"/>
  <c r="S387" i="1" s="1"/>
  <c r="T387" i="1" s="1"/>
  <c r="E386" i="1"/>
  <c r="M385" i="1" l="1"/>
  <c r="G386" i="1"/>
  <c r="J386" i="1"/>
  <c r="I386" i="1"/>
  <c r="F386" i="1"/>
  <c r="H386" i="1"/>
  <c r="K386" i="1"/>
  <c r="L386" i="1"/>
  <c r="A388" i="1"/>
  <c r="S388" i="1" s="1"/>
  <c r="T388" i="1" s="1"/>
  <c r="E387" i="1"/>
  <c r="M386" i="1" l="1"/>
  <c r="J387" i="1"/>
  <c r="K387" i="1"/>
  <c r="L387" i="1"/>
  <c r="G387" i="1"/>
  <c r="H387" i="1"/>
  <c r="I387" i="1"/>
  <c r="F387" i="1"/>
  <c r="A389" i="1"/>
  <c r="S389" i="1" s="1"/>
  <c r="T389" i="1" s="1"/>
  <c r="E388" i="1"/>
  <c r="M387" i="1" l="1"/>
  <c r="F388" i="1"/>
  <c r="G388" i="1"/>
  <c r="H388" i="1"/>
  <c r="I388" i="1"/>
  <c r="K388" i="1"/>
  <c r="J388" i="1"/>
  <c r="L388" i="1"/>
  <c r="A390" i="1"/>
  <c r="S390" i="1" s="1"/>
  <c r="T390" i="1" s="1"/>
  <c r="E389" i="1"/>
  <c r="M388" i="1" l="1"/>
  <c r="G389" i="1"/>
  <c r="F389" i="1"/>
  <c r="H389" i="1"/>
  <c r="I389" i="1"/>
  <c r="J389" i="1"/>
  <c r="K389" i="1"/>
  <c r="L389" i="1"/>
  <c r="A391" i="1"/>
  <c r="S391" i="1" s="1"/>
  <c r="T391" i="1" s="1"/>
  <c r="E390" i="1"/>
  <c r="M389" i="1" l="1"/>
  <c r="H390" i="1"/>
  <c r="I390" i="1"/>
  <c r="G390" i="1"/>
  <c r="J390" i="1"/>
  <c r="K390" i="1"/>
  <c r="L390" i="1"/>
  <c r="F390" i="1"/>
  <c r="A392" i="1"/>
  <c r="S392" i="1" s="1"/>
  <c r="T392" i="1" s="1"/>
  <c r="E391" i="1"/>
  <c r="M390" i="1" l="1"/>
  <c r="F391" i="1"/>
  <c r="H391" i="1"/>
  <c r="L391" i="1"/>
  <c r="G391" i="1"/>
  <c r="J391" i="1"/>
  <c r="K391" i="1"/>
  <c r="I391" i="1"/>
  <c r="A393" i="1"/>
  <c r="S393" i="1" s="1"/>
  <c r="T393" i="1" s="1"/>
  <c r="E392" i="1"/>
  <c r="M391" i="1" l="1"/>
  <c r="J392" i="1"/>
  <c r="K392" i="1"/>
  <c r="F392" i="1"/>
  <c r="G392" i="1"/>
  <c r="H392" i="1"/>
  <c r="I392" i="1"/>
  <c r="L392" i="1"/>
  <c r="A394" i="1"/>
  <c r="S394" i="1" s="1"/>
  <c r="T394" i="1" s="1"/>
  <c r="E393" i="1"/>
  <c r="M392" i="1" l="1"/>
  <c r="F393" i="1"/>
  <c r="G393" i="1"/>
  <c r="H393" i="1"/>
  <c r="I393" i="1"/>
  <c r="J393" i="1"/>
  <c r="L393" i="1"/>
  <c r="K393" i="1"/>
  <c r="A395" i="1"/>
  <c r="S395" i="1" s="1"/>
  <c r="T395" i="1" s="1"/>
  <c r="E394" i="1"/>
  <c r="M393" i="1" l="1"/>
  <c r="L394" i="1"/>
  <c r="F394" i="1"/>
  <c r="G394" i="1"/>
  <c r="H394" i="1"/>
  <c r="K394" i="1"/>
  <c r="I394" i="1"/>
  <c r="J394" i="1"/>
  <c r="A396" i="1"/>
  <c r="S396" i="1" s="1"/>
  <c r="T396" i="1" s="1"/>
  <c r="E395" i="1"/>
  <c r="M394" i="1" l="1"/>
  <c r="F395" i="1"/>
  <c r="J395" i="1"/>
  <c r="K395" i="1"/>
  <c r="L395" i="1"/>
  <c r="I395" i="1"/>
  <c r="G395" i="1"/>
  <c r="H395" i="1"/>
  <c r="A397" i="1"/>
  <c r="S397" i="1" s="1"/>
  <c r="T397" i="1" s="1"/>
  <c r="E396" i="1"/>
  <c r="M395" i="1" l="1"/>
  <c r="F396" i="1"/>
  <c r="G396" i="1"/>
  <c r="I396" i="1"/>
  <c r="H396" i="1"/>
  <c r="J396" i="1"/>
  <c r="K396" i="1"/>
  <c r="L396" i="1"/>
  <c r="A398" i="1"/>
  <c r="S398" i="1" s="1"/>
  <c r="T398" i="1" s="1"/>
  <c r="E397" i="1"/>
  <c r="M396" i="1" l="1"/>
  <c r="G397" i="1"/>
  <c r="H397" i="1"/>
  <c r="F397" i="1"/>
  <c r="I397" i="1"/>
  <c r="J397" i="1"/>
  <c r="K397" i="1"/>
  <c r="L397" i="1"/>
  <c r="A399" i="1"/>
  <c r="S399" i="1" s="1"/>
  <c r="T399" i="1" s="1"/>
  <c r="E398" i="1"/>
  <c r="M397" i="1" l="1"/>
  <c r="G398" i="1"/>
  <c r="H398" i="1"/>
  <c r="J398" i="1"/>
  <c r="K398" i="1"/>
  <c r="L398" i="1"/>
  <c r="F398" i="1"/>
  <c r="I398" i="1"/>
  <c r="A400" i="1"/>
  <c r="S400" i="1" s="1"/>
  <c r="T400" i="1" s="1"/>
  <c r="E399" i="1"/>
  <c r="M398" i="1" l="1"/>
  <c r="I399" i="1"/>
  <c r="J399" i="1"/>
  <c r="F399" i="1"/>
  <c r="L399" i="1"/>
  <c r="G399" i="1"/>
  <c r="H399" i="1"/>
  <c r="K399" i="1"/>
  <c r="A401" i="1"/>
  <c r="S401" i="1" s="1"/>
  <c r="T401" i="1" s="1"/>
  <c r="E400" i="1"/>
  <c r="M399" i="1" l="1"/>
  <c r="K400" i="1"/>
  <c r="L400" i="1"/>
  <c r="F400" i="1"/>
  <c r="G400" i="1"/>
  <c r="H400" i="1"/>
  <c r="I400" i="1"/>
  <c r="J400" i="1"/>
  <c r="A402" i="1"/>
  <c r="S402" i="1" s="1"/>
  <c r="T402" i="1" s="1"/>
  <c r="E401" i="1"/>
  <c r="M400" i="1" l="1"/>
  <c r="K401" i="1"/>
  <c r="L401" i="1"/>
  <c r="G401" i="1"/>
  <c r="H401" i="1"/>
  <c r="J401" i="1"/>
  <c r="F401" i="1"/>
  <c r="I401" i="1"/>
  <c r="A403" i="1"/>
  <c r="S403" i="1" s="1"/>
  <c r="T403" i="1" s="1"/>
  <c r="E402" i="1"/>
  <c r="M401" i="1" l="1"/>
  <c r="F402" i="1"/>
  <c r="G402" i="1"/>
  <c r="J402" i="1"/>
  <c r="H402" i="1"/>
  <c r="I402" i="1"/>
  <c r="K402" i="1"/>
  <c r="L402" i="1"/>
  <c r="A404" i="1"/>
  <c r="S404" i="1" s="1"/>
  <c r="T404" i="1" s="1"/>
  <c r="E403" i="1"/>
  <c r="M402" i="1" l="1"/>
  <c r="H403" i="1"/>
  <c r="I403" i="1"/>
  <c r="K403" i="1"/>
  <c r="L403" i="1"/>
  <c r="G403" i="1"/>
  <c r="J403" i="1"/>
  <c r="F403" i="1"/>
  <c r="A405" i="1"/>
  <c r="S405" i="1" s="1"/>
  <c r="T405" i="1" s="1"/>
  <c r="E404" i="1"/>
  <c r="M403" i="1" l="1"/>
  <c r="F404" i="1"/>
  <c r="G404" i="1"/>
  <c r="I404" i="1"/>
  <c r="J404" i="1"/>
  <c r="H404" i="1"/>
  <c r="K404" i="1"/>
  <c r="L404" i="1"/>
  <c r="A406" i="1"/>
  <c r="S406" i="1" s="1"/>
  <c r="T406" i="1" s="1"/>
  <c r="E405" i="1"/>
  <c r="M404" i="1" l="1"/>
  <c r="L405" i="1"/>
  <c r="F405" i="1"/>
  <c r="G405" i="1"/>
  <c r="H405" i="1"/>
  <c r="I405" i="1"/>
  <c r="J405" i="1"/>
  <c r="K405" i="1"/>
  <c r="A407" i="1"/>
  <c r="S407" i="1" s="1"/>
  <c r="T407" i="1" s="1"/>
  <c r="E406" i="1"/>
  <c r="M405" i="1" l="1"/>
  <c r="H406" i="1"/>
  <c r="I406" i="1"/>
  <c r="F406" i="1"/>
  <c r="J406" i="1"/>
  <c r="K406" i="1"/>
  <c r="G406" i="1"/>
  <c r="L406" i="1"/>
  <c r="A408" i="1"/>
  <c r="S408" i="1" s="1"/>
  <c r="T408" i="1" s="1"/>
  <c r="E407" i="1"/>
  <c r="M406" i="1" l="1"/>
  <c r="F407" i="1"/>
  <c r="I407" i="1"/>
  <c r="J407" i="1"/>
  <c r="L407" i="1"/>
  <c r="K407" i="1"/>
  <c r="G407" i="1"/>
  <c r="H407" i="1"/>
  <c r="A409" i="1"/>
  <c r="S409" i="1" s="1"/>
  <c r="T409" i="1" s="1"/>
  <c r="E408" i="1"/>
  <c r="M407" i="1" l="1"/>
  <c r="J408" i="1"/>
  <c r="K408" i="1"/>
  <c r="I408" i="1"/>
  <c r="L408" i="1"/>
  <c r="F408" i="1"/>
  <c r="G408" i="1"/>
  <c r="H408" i="1"/>
  <c r="A410" i="1"/>
  <c r="S410" i="1" s="1"/>
  <c r="T410" i="1" s="1"/>
  <c r="E409" i="1"/>
  <c r="M408" i="1" l="1"/>
  <c r="G409" i="1"/>
  <c r="H409" i="1"/>
  <c r="J409" i="1"/>
  <c r="F409" i="1"/>
  <c r="I409" i="1"/>
  <c r="K409" i="1"/>
  <c r="L409" i="1"/>
  <c r="A411" i="1"/>
  <c r="S411" i="1" s="1"/>
  <c r="T411" i="1" s="1"/>
  <c r="E410" i="1"/>
  <c r="M409" i="1" l="1"/>
  <c r="L410" i="1"/>
  <c r="K410" i="1"/>
  <c r="G410" i="1"/>
  <c r="F410" i="1"/>
  <c r="H410" i="1"/>
  <c r="I410" i="1"/>
  <c r="J410" i="1"/>
  <c r="A412" i="1"/>
  <c r="S412" i="1" s="1"/>
  <c r="T412" i="1" s="1"/>
  <c r="E411" i="1"/>
  <c r="M410" i="1" l="1"/>
  <c r="F411" i="1"/>
  <c r="H411" i="1"/>
  <c r="I411" i="1"/>
  <c r="K411" i="1"/>
  <c r="L411" i="1"/>
  <c r="G411" i="1"/>
  <c r="J411" i="1"/>
  <c r="A413" i="1"/>
  <c r="S413" i="1" s="1"/>
  <c r="T413" i="1" s="1"/>
  <c r="E412" i="1"/>
  <c r="M411" i="1" l="1"/>
  <c r="G412" i="1"/>
  <c r="F412" i="1"/>
  <c r="H412" i="1"/>
  <c r="I412" i="1"/>
  <c r="J412" i="1"/>
  <c r="K412" i="1"/>
  <c r="L412" i="1"/>
  <c r="A414" i="1"/>
  <c r="S414" i="1" s="1"/>
  <c r="T414" i="1" s="1"/>
  <c r="E413" i="1"/>
  <c r="M412" i="1" l="1"/>
  <c r="G413" i="1"/>
  <c r="H413" i="1"/>
  <c r="L413" i="1"/>
  <c r="F413" i="1"/>
  <c r="K413" i="1"/>
  <c r="I413" i="1"/>
  <c r="J413" i="1"/>
  <c r="A415" i="1"/>
  <c r="S415" i="1" s="1"/>
  <c r="T415" i="1" s="1"/>
  <c r="E414" i="1"/>
  <c r="M413" i="1" l="1"/>
  <c r="F414" i="1"/>
  <c r="H414" i="1"/>
  <c r="I414" i="1"/>
  <c r="K414" i="1"/>
  <c r="G414" i="1"/>
  <c r="J414" i="1"/>
  <c r="L414" i="1"/>
  <c r="A416" i="1"/>
  <c r="S416" i="1" s="1"/>
  <c r="T416" i="1" s="1"/>
  <c r="E415" i="1"/>
  <c r="M414" i="1" l="1"/>
  <c r="I415" i="1"/>
  <c r="J415" i="1"/>
  <c r="F415" i="1"/>
  <c r="G415" i="1"/>
  <c r="H415" i="1"/>
  <c r="K415" i="1"/>
  <c r="L415" i="1"/>
  <c r="A417" i="1"/>
  <c r="S417" i="1" s="1"/>
  <c r="T417" i="1" s="1"/>
  <c r="E416" i="1"/>
  <c r="M415" i="1" l="1"/>
  <c r="I416" i="1"/>
  <c r="J416" i="1"/>
  <c r="L416" i="1"/>
  <c r="F416" i="1"/>
  <c r="G416" i="1"/>
  <c r="H416" i="1"/>
  <c r="K416" i="1"/>
  <c r="A418" i="1"/>
  <c r="S418" i="1" s="1"/>
  <c r="T418" i="1" s="1"/>
  <c r="E417" i="1"/>
  <c r="M416" i="1" l="1"/>
  <c r="K417" i="1"/>
  <c r="L417" i="1"/>
  <c r="F417" i="1"/>
  <c r="H417" i="1"/>
  <c r="G417" i="1"/>
  <c r="I417" i="1"/>
  <c r="J417" i="1"/>
  <c r="A419" i="1"/>
  <c r="S419" i="1" s="1"/>
  <c r="T419" i="1" s="1"/>
  <c r="E418" i="1"/>
  <c r="M417" i="1" l="1"/>
  <c r="J418" i="1"/>
  <c r="K418" i="1"/>
  <c r="L418" i="1"/>
  <c r="F418" i="1"/>
  <c r="G418" i="1"/>
  <c r="H418" i="1"/>
  <c r="I418" i="1"/>
  <c r="A420" i="1"/>
  <c r="S420" i="1" s="1"/>
  <c r="T420" i="1" s="1"/>
  <c r="E419" i="1"/>
  <c r="M418" i="1" l="1"/>
  <c r="F419" i="1"/>
  <c r="G419" i="1"/>
  <c r="I419" i="1"/>
  <c r="J419" i="1"/>
  <c r="L419" i="1"/>
  <c r="H419" i="1"/>
  <c r="K419" i="1"/>
  <c r="A421" i="1"/>
  <c r="S421" i="1" s="1"/>
  <c r="T421" i="1" s="1"/>
  <c r="E420" i="1"/>
  <c r="M419" i="1" l="1"/>
  <c r="F420" i="1"/>
  <c r="G420" i="1"/>
  <c r="H420" i="1"/>
  <c r="I420" i="1"/>
  <c r="J420" i="1"/>
  <c r="K420" i="1"/>
  <c r="L420" i="1"/>
  <c r="A422" i="1"/>
  <c r="S422" i="1" s="1"/>
  <c r="T422" i="1" s="1"/>
  <c r="E421" i="1"/>
  <c r="M420" i="1" l="1"/>
  <c r="J421" i="1"/>
  <c r="K421" i="1"/>
  <c r="H421" i="1"/>
  <c r="G421" i="1"/>
  <c r="I421" i="1"/>
  <c r="L421" i="1"/>
  <c r="F421" i="1"/>
  <c r="A423" i="1"/>
  <c r="S423" i="1" s="1"/>
  <c r="T423" i="1" s="1"/>
  <c r="E422" i="1"/>
  <c r="M421" i="1" l="1"/>
  <c r="H422" i="1"/>
  <c r="I422" i="1"/>
  <c r="F422" i="1"/>
  <c r="G422" i="1"/>
  <c r="K422" i="1"/>
  <c r="L422" i="1"/>
  <c r="J422" i="1"/>
  <c r="A424" i="1"/>
  <c r="S424" i="1" s="1"/>
  <c r="T424" i="1" s="1"/>
  <c r="E423" i="1"/>
  <c r="M422" i="1" l="1"/>
  <c r="F423" i="1"/>
  <c r="G423" i="1"/>
  <c r="H423" i="1"/>
  <c r="I423" i="1"/>
  <c r="J423" i="1"/>
  <c r="K423" i="1"/>
  <c r="L423" i="1"/>
  <c r="A425" i="1"/>
  <c r="S425" i="1" s="1"/>
  <c r="T425" i="1" s="1"/>
  <c r="E424" i="1"/>
  <c r="M423" i="1" l="1"/>
  <c r="J424" i="1"/>
  <c r="K424" i="1"/>
  <c r="G424" i="1"/>
  <c r="H424" i="1"/>
  <c r="L424" i="1"/>
  <c r="F424" i="1"/>
  <c r="I424" i="1"/>
  <c r="A426" i="1"/>
  <c r="S426" i="1" s="1"/>
  <c r="T426" i="1" s="1"/>
  <c r="E425" i="1"/>
  <c r="M424" i="1" l="1"/>
  <c r="F425" i="1"/>
  <c r="H425" i="1"/>
  <c r="G425" i="1"/>
  <c r="I425" i="1"/>
  <c r="J425" i="1"/>
  <c r="K425" i="1"/>
  <c r="L425" i="1"/>
  <c r="A427" i="1"/>
  <c r="S427" i="1" s="1"/>
  <c r="T427" i="1" s="1"/>
  <c r="E426" i="1"/>
  <c r="M425" i="1" l="1"/>
  <c r="L426" i="1"/>
  <c r="K426" i="1"/>
  <c r="G426" i="1"/>
  <c r="H426" i="1"/>
  <c r="I426" i="1"/>
  <c r="J426" i="1"/>
  <c r="F426" i="1"/>
  <c r="A428" i="1"/>
  <c r="S428" i="1" s="1"/>
  <c r="T428" i="1" s="1"/>
  <c r="E427" i="1"/>
  <c r="M426" i="1" l="1"/>
  <c r="F427" i="1"/>
  <c r="G427" i="1"/>
  <c r="I427" i="1"/>
  <c r="J427" i="1"/>
  <c r="H427" i="1"/>
  <c r="K427" i="1"/>
  <c r="L427" i="1"/>
  <c r="A429" i="1"/>
  <c r="S429" i="1" s="1"/>
  <c r="T429" i="1" s="1"/>
  <c r="E428" i="1"/>
  <c r="M427" i="1" l="1"/>
  <c r="F428" i="1"/>
  <c r="G428" i="1"/>
  <c r="H428" i="1"/>
  <c r="I428" i="1"/>
  <c r="J428" i="1"/>
  <c r="K428" i="1"/>
  <c r="L428" i="1"/>
  <c r="A430" i="1"/>
  <c r="S430" i="1" s="1"/>
  <c r="T430" i="1" s="1"/>
  <c r="E429" i="1"/>
  <c r="M428" i="1" l="1"/>
  <c r="G429" i="1"/>
  <c r="H429" i="1"/>
  <c r="J429" i="1"/>
  <c r="K429" i="1"/>
  <c r="L429" i="1"/>
  <c r="F429" i="1"/>
  <c r="I429" i="1"/>
  <c r="A431" i="1"/>
  <c r="S431" i="1" s="1"/>
  <c r="T431" i="1" s="1"/>
  <c r="E430" i="1"/>
  <c r="M429" i="1" l="1"/>
  <c r="F430" i="1"/>
  <c r="G430" i="1"/>
  <c r="H430" i="1"/>
  <c r="I430" i="1"/>
  <c r="J430" i="1"/>
  <c r="K430" i="1"/>
  <c r="L430" i="1"/>
  <c r="A432" i="1"/>
  <c r="S432" i="1" s="1"/>
  <c r="T432" i="1" s="1"/>
  <c r="E431" i="1"/>
  <c r="M430" i="1" l="1"/>
  <c r="I431" i="1"/>
  <c r="F431" i="1"/>
  <c r="G431" i="1"/>
  <c r="H431" i="1"/>
  <c r="J431" i="1"/>
  <c r="K431" i="1"/>
  <c r="L431" i="1"/>
  <c r="A433" i="1"/>
  <c r="S433" i="1" s="1"/>
  <c r="T433" i="1" s="1"/>
  <c r="E432" i="1"/>
  <c r="M431" i="1" l="1"/>
  <c r="F432" i="1"/>
  <c r="G432" i="1"/>
  <c r="I432" i="1"/>
  <c r="J432" i="1"/>
  <c r="H432" i="1"/>
  <c r="K432" i="1"/>
  <c r="L432" i="1"/>
  <c r="A434" i="1"/>
  <c r="S434" i="1" s="1"/>
  <c r="T434" i="1" s="1"/>
  <c r="E433" i="1"/>
  <c r="M432" i="1" l="1"/>
  <c r="K433" i="1"/>
  <c r="G433" i="1"/>
  <c r="H433" i="1"/>
  <c r="I433" i="1"/>
  <c r="J433" i="1"/>
  <c r="L433" i="1"/>
  <c r="F433" i="1"/>
  <c r="A435" i="1"/>
  <c r="S435" i="1" s="1"/>
  <c r="T435" i="1" s="1"/>
  <c r="E434" i="1"/>
  <c r="M433" i="1" l="1"/>
  <c r="I434" i="1"/>
  <c r="J434" i="1"/>
  <c r="L434" i="1"/>
  <c r="F434" i="1"/>
  <c r="G434" i="1"/>
  <c r="H434" i="1"/>
  <c r="K434" i="1"/>
  <c r="A436" i="1"/>
  <c r="S436" i="1" s="1"/>
  <c r="T436" i="1" s="1"/>
  <c r="E435" i="1"/>
  <c r="M434" i="1" l="1"/>
  <c r="F435" i="1"/>
  <c r="G435" i="1"/>
  <c r="L435" i="1"/>
  <c r="H435" i="1"/>
  <c r="I435" i="1"/>
  <c r="J435" i="1"/>
  <c r="K435" i="1"/>
  <c r="A437" i="1"/>
  <c r="S437" i="1" s="1"/>
  <c r="T437" i="1" s="1"/>
  <c r="E436" i="1"/>
  <c r="M435" i="1" l="1"/>
  <c r="F436" i="1"/>
  <c r="L436" i="1"/>
  <c r="H436" i="1"/>
  <c r="I436" i="1"/>
  <c r="J436" i="1"/>
  <c r="K436" i="1"/>
  <c r="G436" i="1"/>
  <c r="A438" i="1"/>
  <c r="S438" i="1" s="1"/>
  <c r="T438" i="1" s="1"/>
  <c r="E437" i="1"/>
  <c r="M436" i="1" l="1"/>
  <c r="F437" i="1"/>
  <c r="H437" i="1"/>
  <c r="I437" i="1"/>
  <c r="G437" i="1"/>
  <c r="J437" i="1"/>
  <c r="K437" i="1"/>
  <c r="L437" i="1"/>
  <c r="A439" i="1"/>
  <c r="S439" i="1" s="1"/>
  <c r="T439" i="1" s="1"/>
  <c r="E438" i="1"/>
  <c r="M437" i="1" l="1"/>
  <c r="H438" i="1"/>
  <c r="F438" i="1"/>
  <c r="G438" i="1"/>
  <c r="I438" i="1"/>
  <c r="J438" i="1"/>
  <c r="K438" i="1"/>
  <c r="L438" i="1"/>
  <c r="A440" i="1"/>
  <c r="S440" i="1" s="1"/>
  <c r="T440" i="1" s="1"/>
  <c r="E439" i="1"/>
  <c r="M438" i="1" l="1"/>
  <c r="H439" i="1"/>
  <c r="I439" i="1"/>
  <c r="K439" i="1"/>
  <c r="L439" i="1"/>
  <c r="J439" i="1"/>
  <c r="F439" i="1"/>
  <c r="G439" i="1"/>
  <c r="A441" i="1"/>
  <c r="S441" i="1" s="1"/>
  <c r="T441" i="1" s="1"/>
  <c r="E440" i="1"/>
  <c r="M439" i="1" l="1"/>
  <c r="F440" i="1"/>
  <c r="G440" i="1"/>
  <c r="H440" i="1"/>
  <c r="I440" i="1"/>
  <c r="J440" i="1"/>
  <c r="K440" i="1"/>
  <c r="L440" i="1"/>
  <c r="A442" i="1"/>
  <c r="S442" i="1" s="1"/>
  <c r="T442" i="1" s="1"/>
  <c r="E441" i="1"/>
  <c r="M440" i="1" l="1"/>
  <c r="J441" i="1"/>
  <c r="K441" i="1"/>
  <c r="F441" i="1"/>
  <c r="G441" i="1"/>
  <c r="H441" i="1"/>
  <c r="I441" i="1"/>
  <c r="L441" i="1"/>
  <c r="A443" i="1"/>
  <c r="S443" i="1" s="1"/>
  <c r="T443" i="1" s="1"/>
  <c r="E442" i="1"/>
  <c r="M441" i="1" l="1"/>
  <c r="F442" i="1"/>
  <c r="G442" i="1"/>
  <c r="K442" i="1"/>
  <c r="L442" i="1"/>
  <c r="H442" i="1"/>
  <c r="I442" i="1"/>
  <c r="J442" i="1"/>
  <c r="A444" i="1"/>
  <c r="S444" i="1" s="1"/>
  <c r="T444" i="1" s="1"/>
  <c r="E443" i="1"/>
  <c r="M442" i="1" l="1"/>
  <c r="L443" i="1"/>
  <c r="F443" i="1"/>
  <c r="G443" i="1"/>
  <c r="H443" i="1"/>
  <c r="I443" i="1"/>
  <c r="J443" i="1"/>
  <c r="K443" i="1"/>
  <c r="A445" i="1"/>
  <c r="S445" i="1" s="1"/>
  <c r="T445" i="1" s="1"/>
  <c r="E444" i="1"/>
  <c r="M443" i="1" l="1"/>
  <c r="F444" i="1"/>
  <c r="H444" i="1"/>
  <c r="I444" i="1"/>
  <c r="G444" i="1"/>
  <c r="J444" i="1"/>
  <c r="L444" i="1"/>
  <c r="K444" i="1"/>
  <c r="A446" i="1"/>
  <c r="S446" i="1" s="1"/>
  <c r="T446" i="1" s="1"/>
  <c r="E445" i="1"/>
  <c r="M444" i="1" l="1"/>
  <c r="J445" i="1"/>
  <c r="K445" i="1"/>
  <c r="L445" i="1"/>
  <c r="F445" i="1"/>
  <c r="G445" i="1"/>
  <c r="H445" i="1"/>
  <c r="I445" i="1"/>
  <c r="A447" i="1"/>
  <c r="S447" i="1" s="1"/>
  <c r="T447" i="1" s="1"/>
  <c r="E446" i="1"/>
  <c r="M445" i="1" l="1"/>
  <c r="G446" i="1"/>
  <c r="H446" i="1"/>
  <c r="J446" i="1"/>
  <c r="K446" i="1"/>
  <c r="F446" i="1"/>
  <c r="I446" i="1"/>
  <c r="L446" i="1"/>
  <c r="A448" i="1"/>
  <c r="S448" i="1" s="1"/>
  <c r="T448" i="1" s="1"/>
  <c r="E447" i="1"/>
  <c r="M446" i="1" l="1"/>
  <c r="F447" i="1"/>
  <c r="G447" i="1"/>
  <c r="H447" i="1"/>
  <c r="I447" i="1"/>
  <c r="L447" i="1"/>
  <c r="J447" i="1"/>
  <c r="K447" i="1"/>
  <c r="A449" i="1"/>
  <c r="S449" i="1" s="1"/>
  <c r="T449" i="1" s="1"/>
  <c r="E448" i="1"/>
  <c r="M447" i="1" l="1"/>
  <c r="I448" i="1"/>
  <c r="J448" i="1"/>
  <c r="L448" i="1"/>
  <c r="K448" i="1"/>
  <c r="F448" i="1"/>
  <c r="G448" i="1"/>
  <c r="H448" i="1"/>
  <c r="A450" i="1"/>
  <c r="S450" i="1" s="1"/>
  <c r="T450" i="1" s="1"/>
  <c r="E449" i="1"/>
  <c r="M448" i="1" l="1"/>
  <c r="F449" i="1"/>
  <c r="G449" i="1"/>
  <c r="H449" i="1"/>
  <c r="I449" i="1"/>
  <c r="J449" i="1"/>
  <c r="K449" i="1"/>
  <c r="L449" i="1"/>
  <c r="A451" i="1"/>
  <c r="S451" i="1" s="1"/>
  <c r="T451" i="1" s="1"/>
  <c r="E450" i="1"/>
  <c r="M449" i="1" l="1"/>
  <c r="K450" i="1"/>
  <c r="L450" i="1"/>
  <c r="F450" i="1"/>
  <c r="G450" i="1"/>
  <c r="H450" i="1"/>
  <c r="I450" i="1"/>
  <c r="J450" i="1"/>
  <c r="A452" i="1"/>
  <c r="S452" i="1" s="1"/>
  <c r="T452" i="1" s="1"/>
  <c r="E451" i="1"/>
  <c r="M450" i="1" l="1"/>
  <c r="G451" i="1"/>
  <c r="H451" i="1"/>
  <c r="L451" i="1"/>
  <c r="K451" i="1"/>
  <c r="J451" i="1"/>
  <c r="F451" i="1"/>
  <c r="I451" i="1"/>
  <c r="A453" i="1"/>
  <c r="S453" i="1" s="1"/>
  <c r="T453" i="1" s="1"/>
  <c r="E452" i="1"/>
  <c r="M451" i="1" l="1"/>
  <c r="F452" i="1"/>
  <c r="G452" i="1"/>
  <c r="H452" i="1"/>
  <c r="I452" i="1"/>
  <c r="J452" i="1"/>
  <c r="K452" i="1"/>
  <c r="L452" i="1"/>
  <c r="A454" i="1"/>
  <c r="S454" i="1" s="1"/>
  <c r="T454" i="1" s="1"/>
  <c r="E453" i="1"/>
  <c r="M452" i="1" l="1"/>
  <c r="F453" i="1"/>
  <c r="G453" i="1"/>
  <c r="I453" i="1"/>
  <c r="J453" i="1"/>
  <c r="H453" i="1"/>
  <c r="K453" i="1"/>
  <c r="L453" i="1"/>
  <c r="A455" i="1"/>
  <c r="S455" i="1" s="1"/>
  <c r="T455" i="1" s="1"/>
  <c r="E454" i="1"/>
  <c r="M453" i="1" l="1"/>
  <c r="K454" i="1"/>
  <c r="L454" i="1"/>
  <c r="I454" i="1"/>
  <c r="J454" i="1"/>
  <c r="F454" i="1"/>
  <c r="G454" i="1"/>
  <c r="H454" i="1"/>
  <c r="A456" i="1"/>
  <c r="S456" i="1" s="1"/>
  <c r="T456" i="1" s="1"/>
  <c r="E455" i="1"/>
  <c r="M454" i="1" l="1"/>
  <c r="H455" i="1"/>
  <c r="I455" i="1"/>
  <c r="K455" i="1"/>
  <c r="L455" i="1"/>
  <c r="F455" i="1"/>
  <c r="G455" i="1"/>
  <c r="J455" i="1"/>
  <c r="A457" i="1"/>
  <c r="S457" i="1" s="1"/>
  <c r="T457" i="1" s="1"/>
  <c r="E456" i="1"/>
  <c r="M455" i="1" l="1"/>
  <c r="F456" i="1"/>
  <c r="G456" i="1"/>
  <c r="H456" i="1"/>
  <c r="I456" i="1"/>
  <c r="L456" i="1"/>
  <c r="J456" i="1"/>
  <c r="K456" i="1"/>
  <c r="A458" i="1"/>
  <c r="S458" i="1" s="1"/>
  <c r="T458" i="1" s="1"/>
  <c r="E457" i="1"/>
  <c r="M456" i="1" l="1"/>
  <c r="J457" i="1"/>
  <c r="K457" i="1"/>
  <c r="L457" i="1"/>
  <c r="F457" i="1"/>
  <c r="G457" i="1"/>
  <c r="H457" i="1"/>
  <c r="I457" i="1"/>
  <c r="A459" i="1"/>
  <c r="S459" i="1" s="1"/>
  <c r="T459" i="1" s="1"/>
  <c r="E458" i="1"/>
  <c r="M457" i="1" l="1"/>
  <c r="F458" i="1"/>
  <c r="G458" i="1"/>
  <c r="H458" i="1"/>
  <c r="I458" i="1"/>
  <c r="J458" i="1"/>
  <c r="K458" i="1"/>
  <c r="L458" i="1"/>
  <c r="A460" i="1"/>
  <c r="S460" i="1" s="1"/>
  <c r="T460" i="1" s="1"/>
  <c r="E459" i="1"/>
  <c r="M458" i="1" l="1"/>
  <c r="L459" i="1"/>
  <c r="F459" i="1"/>
  <c r="G459" i="1"/>
  <c r="H459" i="1"/>
  <c r="K459" i="1"/>
  <c r="J459" i="1"/>
  <c r="I459" i="1"/>
  <c r="A461" i="1"/>
  <c r="S461" i="1" s="1"/>
  <c r="T461" i="1" s="1"/>
  <c r="E460" i="1"/>
  <c r="M459" i="1" l="1"/>
  <c r="F460" i="1"/>
  <c r="H460" i="1"/>
  <c r="I460" i="1"/>
  <c r="G460" i="1"/>
  <c r="J460" i="1"/>
  <c r="K460" i="1"/>
  <c r="L460" i="1"/>
  <c r="A462" i="1"/>
  <c r="S462" i="1" s="1"/>
  <c r="T462" i="1" s="1"/>
  <c r="E461" i="1"/>
  <c r="M460" i="1" l="1"/>
  <c r="F461" i="1"/>
  <c r="G461" i="1"/>
  <c r="H461" i="1"/>
  <c r="I461" i="1"/>
  <c r="J461" i="1"/>
  <c r="K461" i="1"/>
  <c r="L461" i="1"/>
  <c r="A463" i="1"/>
  <c r="S463" i="1" s="1"/>
  <c r="T463" i="1" s="1"/>
  <c r="E462" i="1"/>
  <c r="M461" i="1" l="1"/>
  <c r="G462" i="1"/>
  <c r="H462" i="1"/>
  <c r="J462" i="1"/>
  <c r="K462" i="1"/>
  <c r="F462" i="1"/>
  <c r="I462" i="1"/>
  <c r="L462" i="1"/>
  <c r="A464" i="1"/>
  <c r="S464" i="1" s="1"/>
  <c r="T464" i="1" s="1"/>
  <c r="E463" i="1"/>
  <c r="M462" i="1" l="1"/>
  <c r="L463" i="1"/>
  <c r="F463" i="1"/>
  <c r="G463" i="1"/>
  <c r="I463" i="1"/>
  <c r="H463" i="1"/>
  <c r="J463" i="1"/>
  <c r="K463" i="1"/>
  <c r="A465" i="1"/>
  <c r="S465" i="1" s="1"/>
  <c r="T465" i="1" s="1"/>
  <c r="E464" i="1"/>
  <c r="M463" i="1" l="1"/>
  <c r="I464" i="1"/>
  <c r="J464" i="1"/>
  <c r="L464" i="1"/>
  <c r="F464" i="1"/>
  <c r="G464" i="1"/>
  <c r="H464" i="1"/>
  <c r="K464" i="1"/>
  <c r="A466" i="1"/>
  <c r="S466" i="1" s="1"/>
  <c r="T466" i="1" s="1"/>
  <c r="E465" i="1"/>
  <c r="M464" i="1" l="1"/>
  <c r="F465" i="1"/>
  <c r="G465" i="1"/>
  <c r="H465" i="1"/>
  <c r="I465" i="1"/>
  <c r="J465" i="1"/>
  <c r="K465" i="1"/>
  <c r="L465" i="1"/>
  <c r="A467" i="1"/>
  <c r="S467" i="1" s="1"/>
  <c r="T467" i="1" s="1"/>
  <c r="E466" i="1"/>
  <c r="M465" i="1" l="1"/>
  <c r="K466" i="1"/>
  <c r="L466" i="1"/>
  <c r="F466" i="1"/>
  <c r="G466" i="1"/>
  <c r="H466" i="1"/>
  <c r="I466" i="1"/>
  <c r="J466" i="1"/>
  <c r="A468" i="1"/>
  <c r="S468" i="1" s="1"/>
  <c r="T468" i="1" s="1"/>
  <c r="E467" i="1"/>
  <c r="M466" i="1" l="1"/>
  <c r="G467" i="1"/>
  <c r="H467" i="1"/>
  <c r="F467" i="1"/>
  <c r="I467" i="1"/>
  <c r="J467" i="1"/>
  <c r="L467" i="1"/>
  <c r="K467" i="1"/>
  <c r="A469" i="1"/>
  <c r="S469" i="1" s="1"/>
  <c r="T469" i="1" s="1"/>
  <c r="E468" i="1"/>
  <c r="M467" i="1" l="1"/>
  <c r="F468" i="1"/>
  <c r="G468" i="1"/>
  <c r="H468" i="1"/>
  <c r="I468" i="1"/>
  <c r="K468" i="1"/>
  <c r="L468" i="1"/>
  <c r="J468" i="1"/>
  <c r="A470" i="1"/>
  <c r="S470" i="1" s="1"/>
  <c r="T470" i="1" s="1"/>
  <c r="E469" i="1"/>
  <c r="M468" i="1" l="1"/>
  <c r="F469" i="1"/>
  <c r="G469" i="1"/>
  <c r="I469" i="1"/>
  <c r="J469" i="1"/>
  <c r="H469" i="1"/>
  <c r="K469" i="1"/>
  <c r="L469" i="1"/>
  <c r="A471" i="1"/>
  <c r="S471" i="1" s="1"/>
  <c r="T471" i="1" s="1"/>
  <c r="E470" i="1"/>
  <c r="M469" i="1" l="1"/>
  <c r="G470" i="1"/>
  <c r="H470" i="1"/>
  <c r="I470" i="1"/>
  <c r="K470" i="1"/>
  <c r="L470" i="1"/>
  <c r="F470" i="1"/>
  <c r="J470" i="1"/>
  <c r="A472" i="1"/>
  <c r="S472" i="1" s="1"/>
  <c r="T472" i="1" s="1"/>
  <c r="E471" i="1"/>
  <c r="M470" i="1" l="1"/>
  <c r="H471" i="1"/>
  <c r="I471" i="1"/>
  <c r="K471" i="1"/>
  <c r="L471" i="1"/>
  <c r="F471" i="1"/>
  <c r="G471" i="1"/>
  <c r="J471" i="1"/>
  <c r="A473" i="1"/>
  <c r="S473" i="1" s="1"/>
  <c r="T473" i="1" s="1"/>
  <c r="E472" i="1"/>
  <c r="M471" i="1" l="1"/>
  <c r="H472" i="1"/>
  <c r="J472" i="1"/>
  <c r="I472" i="1"/>
  <c r="F472" i="1"/>
  <c r="G472" i="1"/>
  <c r="K472" i="1"/>
  <c r="L472" i="1"/>
  <c r="A474" i="1"/>
  <c r="S474" i="1" s="1"/>
  <c r="T474" i="1" s="1"/>
  <c r="E473" i="1"/>
  <c r="M472" i="1" l="1"/>
  <c r="J473" i="1"/>
  <c r="K473" i="1"/>
  <c r="F473" i="1"/>
  <c r="G473" i="1"/>
  <c r="H473" i="1"/>
  <c r="I473" i="1"/>
  <c r="L473" i="1"/>
  <c r="A475" i="1"/>
  <c r="S475" i="1" s="1"/>
  <c r="T475" i="1" s="1"/>
  <c r="E474" i="1"/>
  <c r="M473" i="1" l="1"/>
  <c r="F474" i="1"/>
  <c r="G474" i="1"/>
  <c r="H474" i="1"/>
  <c r="I474" i="1"/>
  <c r="J474" i="1"/>
  <c r="K474" i="1"/>
  <c r="L474" i="1"/>
  <c r="A476" i="1"/>
  <c r="S476" i="1" s="1"/>
  <c r="T476" i="1" s="1"/>
  <c r="E475" i="1"/>
  <c r="M474" i="1" l="1"/>
  <c r="L475" i="1"/>
  <c r="G475" i="1"/>
  <c r="H475" i="1"/>
  <c r="I475" i="1"/>
  <c r="J475" i="1"/>
  <c r="K475" i="1"/>
  <c r="F475" i="1"/>
  <c r="A477" i="1"/>
  <c r="S477" i="1" s="1"/>
  <c r="T477" i="1" s="1"/>
  <c r="E476" i="1"/>
  <c r="M475" i="1" l="1"/>
  <c r="F476" i="1"/>
  <c r="H476" i="1"/>
  <c r="I476" i="1"/>
  <c r="G476" i="1"/>
  <c r="J476" i="1"/>
  <c r="K476" i="1"/>
  <c r="L476" i="1"/>
  <c r="A478" i="1"/>
  <c r="S478" i="1" s="1"/>
  <c r="T478" i="1" s="1"/>
  <c r="E477" i="1"/>
  <c r="M476" i="1" l="1"/>
  <c r="F477" i="1"/>
  <c r="G477" i="1"/>
  <c r="H477" i="1"/>
  <c r="I477" i="1"/>
  <c r="J477" i="1"/>
  <c r="K477" i="1"/>
  <c r="L477" i="1"/>
  <c r="A479" i="1"/>
  <c r="S479" i="1" s="1"/>
  <c r="T479" i="1" s="1"/>
  <c r="E478" i="1"/>
  <c r="M477" i="1" l="1"/>
  <c r="G478" i="1"/>
  <c r="H478" i="1"/>
  <c r="F478" i="1"/>
  <c r="I478" i="1"/>
  <c r="J478" i="1"/>
  <c r="K478" i="1"/>
  <c r="L478" i="1"/>
  <c r="A480" i="1"/>
  <c r="S480" i="1" s="1"/>
  <c r="T480" i="1" s="1"/>
  <c r="E479" i="1"/>
  <c r="M478" i="1" l="1"/>
  <c r="F479" i="1"/>
  <c r="G479" i="1"/>
  <c r="H479" i="1"/>
  <c r="J479" i="1"/>
  <c r="K479" i="1"/>
  <c r="L479" i="1"/>
  <c r="I479" i="1"/>
  <c r="A481" i="1"/>
  <c r="S481" i="1" s="1"/>
  <c r="T481" i="1" s="1"/>
  <c r="E480" i="1"/>
  <c r="M479" i="1" l="1"/>
  <c r="I480" i="1"/>
  <c r="J480" i="1"/>
  <c r="F480" i="1"/>
  <c r="G480" i="1"/>
  <c r="L480" i="1"/>
  <c r="H480" i="1"/>
  <c r="K480" i="1"/>
  <c r="A482" i="1"/>
  <c r="S482" i="1" s="1"/>
  <c r="T482" i="1" s="1"/>
  <c r="E481" i="1"/>
  <c r="M480" i="1" l="1"/>
  <c r="J481" i="1"/>
  <c r="K481" i="1"/>
  <c r="L481" i="1"/>
  <c r="F481" i="1"/>
  <c r="G481" i="1"/>
  <c r="H481" i="1"/>
  <c r="I481" i="1"/>
  <c r="A483" i="1"/>
  <c r="S483" i="1" s="1"/>
  <c r="T483" i="1" s="1"/>
  <c r="E482" i="1"/>
  <c r="M481" i="1" l="1"/>
  <c r="K482" i="1"/>
  <c r="L482" i="1"/>
  <c r="G482" i="1"/>
  <c r="H482" i="1"/>
  <c r="I482" i="1"/>
  <c r="J482" i="1"/>
  <c r="F482" i="1"/>
  <c r="A484" i="1"/>
  <c r="S484" i="1" s="1"/>
  <c r="T484" i="1" s="1"/>
  <c r="E483" i="1"/>
  <c r="M482" i="1" l="1"/>
  <c r="F483" i="1"/>
  <c r="J483" i="1"/>
  <c r="K483" i="1"/>
  <c r="G483" i="1"/>
  <c r="H483" i="1"/>
  <c r="I483" i="1"/>
  <c r="L483" i="1"/>
  <c r="A485" i="1"/>
  <c r="S485" i="1" s="1"/>
  <c r="T485" i="1" s="1"/>
  <c r="E484" i="1"/>
  <c r="M483" i="1" l="1"/>
  <c r="G484" i="1"/>
  <c r="H484" i="1"/>
  <c r="I484" i="1"/>
  <c r="K484" i="1"/>
  <c r="L484" i="1"/>
  <c r="F484" i="1"/>
  <c r="J484" i="1"/>
  <c r="A486" i="1"/>
  <c r="S486" i="1" s="1"/>
  <c r="T486" i="1" s="1"/>
  <c r="E485" i="1"/>
  <c r="M484" i="1" l="1"/>
  <c r="F485" i="1"/>
  <c r="G485" i="1"/>
  <c r="H485" i="1"/>
  <c r="I485" i="1"/>
  <c r="J485" i="1"/>
  <c r="K485" i="1"/>
  <c r="L485" i="1"/>
  <c r="A487" i="1"/>
  <c r="S487" i="1" s="1"/>
  <c r="T487" i="1" s="1"/>
  <c r="E486" i="1"/>
  <c r="M485" i="1" l="1"/>
  <c r="K486" i="1"/>
  <c r="L486" i="1"/>
  <c r="F486" i="1"/>
  <c r="G486" i="1"/>
  <c r="H486" i="1"/>
  <c r="J486" i="1"/>
  <c r="I486" i="1"/>
  <c r="A488" i="1"/>
  <c r="S488" i="1" s="1"/>
  <c r="T488" i="1" s="1"/>
  <c r="E487" i="1"/>
  <c r="M486" i="1" l="1"/>
  <c r="H487" i="1"/>
  <c r="I487" i="1"/>
  <c r="F487" i="1"/>
  <c r="J487" i="1"/>
  <c r="K487" i="1"/>
  <c r="L487" i="1"/>
  <c r="G487" i="1"/>
  <c r="A489" i="1"/>
  <c r="S489" i="1" s="1"/>
  <c r="T489" i="1" s="1"/>
  <c r="E488" i="1"/>
  <c r="M487" i="1" l="1"/>
  <c r="F488" i="1"/>
  <c r="G488" i="1"/>
  <c r="L488" i="1"/>
  <c r="H488" i="1"/>
  <c r="I488" i="1"/>
  <c r="J488" i="1"/>
  <c r="K488" i="1"/>
  <c r="A490" i="1"/>
  <c r="S490" i="1" s="1"/>
  <c r="T490" i="1" s="1"/>
  <c r="E489" i="1"/>
  <c r="M488" i="1" l="1"/>
  <c r="J489" i="1"/>
  <c r="K489" i="1"/>
  <c r="H489" i="1"/>
  <c r="I489" i="1"/>
  <c r="L489" i="1"/>
  <c r="F489" i="1"/>
  <c r="G489" i="1"/>
  <c r="A491" i="1"/>
  <c r="S491" i="1" s="1"/>
  <c r="T491" i="1" s="1"/>
  <c r="E490" i="1"/>
  <c r="M489" i="1" l="1"/>
  <c r="G490" i="1"/>
  <c r="H490" i="1"/>
  <c r="I490" i="1"/>
  <c r="J490" i="1"/>
  <c r="K490" i="1"/>
  <c r="F490" i="1"/>
  <c r="L490" i="1"/>
  <c r="A492" i="1"/>
  <c r="S492" i="1" s="1"/>
  <c r="T492" i="1" s="1"/>
  <c r="E491" i="1"/>
  <c r="M490" i="1" l="1"/>
  <c r="L491" i="1"/>
  <c r="G491" i="1"/>
  <c r="H491" i="1"/>
  <c r="K491" i="1"/>
  <c r="I491" i="1"/>
  <c r="J491" i="1"/>
  <c r="F491" i="1"/>
  <c r="A493" i="1"/>
  <c r="S493" i="1" s="1"/>
  <c r="T493" i="1" s="1"/>
  <c r="E492" i="1"/>
  <c r="M491" i="1" l="1"/>
  <c r="F492" i="1"/>
  <c r="G492" i="1"/>
  <c r="I492" i="1"/>
  <c r="H492" i="1"/>
  <c r="K492" i="1"/>
  <c r="L492" i="1"/>
  <c r="J492" i="1"/>
  <c r="A494" i="1"/>
  <c r="S494" i="1" s="1"/>
  <c r="T494" i="1" s="1"/>
  <c r="E493" i="1"/>
  <c r="M492" i="1" l="1"/>
  <c r="F493" i="1"/>
  <c r="G493" i="1"/>
  <c r="H493" i="1"/>
  <c r="I493" i="1"/>
  <c r="J493" i="1"/>
  <c r="K493" i="1"/>
  <c r="L493" i="1"/>
  <c r="A495" i="1"/>
  <c r="S495" i="1" s="1"/>
  <c r="T495" i="1" s="1"/>
  <c r="E494" i="1"/>
  <c r="M493" i="1" l="1"/>
  <c r="G494" i="1"/>
  <c r="H494" i="1"/>
  <c r="K494" i="1"/>
  <c r="L494" i="1"/>
  <c r="F494" i="1"/>
  <c r="I494" i="1"/>
  <c r="J494" i="1"/>
  <c r="A496" i="1"/>
  <c r="S496" i="1" s="1"/>
  <c r="T496" i="1" s="1"/>
  <c r="E495" i="1"/>
  <c r="M494" i="1" l="1"/>
  <c r="F495" i="1"/>
  <c r="H495" i="1"/>
  <c r="I495" i="1"/>
  <c r="J495" i="1"/>
  <c r="K495" i="1"/>
  <c r="L495" i="1"/>
  <c r="G495" i="1"/>
  <c r="A497" i="1"/>
  <c r="S497" i="1" s="1"/>
  <c r="T497" i="1" s="1"/>
  <c r="E496" i="1"/>
  <c r="M495" i="1" l="1"/>
  <c r="I496" i="1"/>
  <c r="J496" i="1"/>
  <c r="H496" i="1"/>
  <c r="K496" i="1"/>
  <c r="L496" i="1"/>
  <c r="F496" i="1"/>
  <c r="G496" i="1"/>
  <c r="A498" i="1"/>
  <c r="S498" i="1" s="1"/>
  <c r="T498" i="1" s="1"/>
  <c r="E497" i="1"/>
  <c r="M496" i="1" l="1"/>
  <c r="H497" i="1"/>
  <c r="I497" i="1"/>
  <c r="J497" i="1"/>
  <c r="L497" i="1"/>
  <c r="G497" i="1"/>
  <c r="F497" i="1"/>
  <c r="K497" i="1"/>
  <c r="A499" i="1"/>
  <c r="S499" i="1" s="1"/>
  <c r="T499" i="1" s="1"/>
  <c r="E498" i="1"/>
  <c r="M497" i="1" l="1"/>
  <c r="K498" i="1"/>
  <c r="L498" i="1"/>
  <c r="F498" i="1"/>
  <c r="G498" i="1"/>
  <c r="H498" i="1"/>
  <c r="I498" i="1"/>
  <c r="J498" i="1"/>
  <c r="A500" i="1"/>
  <c r="S500" i="1" s="1"/>
  <c r="T500" i="1" s="1"/>
  <c r="E499" i="1"/>
  <c r="M498" i="1" l="1"/>
  <c r="L499" i="1"/>
  <c r="H499" i="1"/>
  <c r="I499" i="1"/>
  <c r="F499" i="1"/>
  <c r="G499" i="1"/>
  <c r="J499" i="1"/>
  <c r="K499" i="1"/>
  <c r="A501" i="1"/>
  <c r="S501" i="1" s="1"/>
  <c r="T501" i="1" s="1"/>
  <c r="E500" i="1"/>
  <c r="M499" i="1" l="1"/>
  <c r="F500" i="1"/>
  <c r="G500" i="1"/>
  <c r="I500" i="1"/>
  <c r="J500" i="1"/>
  <c r="K500" i="1"/>
  <c r="L500" i="1"/>
  <c r="H500" i="1"/>
  <c r="E501" i="1"/>
  <c r="M500" i="1" l="1"/>
  <c r="F501" i="1"/>
  <c r="G501" i="1"/>
  <c r="H501" i="1"/>
  <c r="K501" i="1"/>
  <c r="L501" i="1"/>
  <c r="I501" i="1"/>
  <c r="J501" i="1"/>
</calcChain>
</file>

<file path=xl/sharedStrings.xml><?xml version="1.0" encoding="utf-8"?>
<sst xmlns="http://schemas.openxmlformats.org/spreadsheetml/2006/main" count="9" uniqueCount="6">
  <si>
    <t>Necessari per avanzamento</t>
  </si>
  <si>
    <t>level</t>
  </si>
  <si>
    <t>xp_required</t>
  </si>
  <si>
    <t>Min Bonus</t>
  </si>
  <si>
    <t>chips_reward</t>
  </si>
  <si>
    <t>daily_bonus_multiplier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</si>
</sst>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6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4444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164" fontId="0" fillId="0" borderId="0" xfId="0" applyNumberFormat="1"/>
    <xf numFmtId="1" fontId="2" fillId="0" borderId="0" xfId="0" applyNumberFormat="1" applyFont="1" applyAlignment="1">
      <alignment vertical="center"/>
    </xf>
    <xf numFmtId="1" fontId="0" fillId="0" borderId="0" xfId="1" applyNumberFormat="1" applyFont="1"/>
    <xf numFmtId="43" fontId="2" fillId="0" borderId="0" xfId="1" applyFont="1" applyAlignment="1">
      <alignment vertical="center"/>
    </xf>
    <xf numFmtId="9" fontId="0" fillId="0" borderId="0" xfId="2" applyFont="1"/>
    <xf numFmtId="43" fontId="0" fillId="0" borderId="0" xfId="0" applyNumberFormat="1"/>
    <xf numFmtId="166" fontId="0" fillId="0" borderId="0" xfId="2" applyNumberFormat="1" applyFont="1"/>
    <xf numFmtId="1" fontId="0" fillId="0" borderId="0" xfId="0" applyNumberFormat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27E3-F818-4C41-A176-F91E52DEC3D0}">
  <dimension ref="A1:T502"/>
  <sheetViews>
    <sheetView tabSelected="1" topLeftCell="A466" workbookViewId="0">
      <selection activeCell="J501" sqref="J501"/>
    </sheetView>
  </sheetViews>
  <sheetFormatPr defaultRowHeight="15" x14ac:dyDescent="0.25"/>
  <cols>
    <col min="1" max="1" width="6.85546875" bestFit="1" customWidth="1"/>
    <col min="2" max="2" width="24.28515625" style="4" bestFit="1" customWidth="1"/>
    <col min="3" max="3" width="27.28515625" style="1" bestFit="1" customWidth="1"/>
    <col min="5" max="5" width="15.28515625" style="1" bestFit="1" customWidth="1"/>
    <col min="6" max="6" width="14.28515625" bestFit="1" customWidth="1"/>
    <col min="7" max="9" width="13.28515625" bestFit="1" customWidth="1"/>
    <col min="10" max="12" width="11.5703125" bestFit="1" customWidth="1"/>
    <col min="13" max="13" width="20.42578125" bestFit="1" customWidth="1"/>
    <col min="14" max="14" width="20.42578125" customWidth="1"/>
    <col min="15" max="15" width="13.28515625" bestFit="1" customWidth="1"/>
    <col min="16" max="16" width="6.85546875" bestFit="1" customWidth="1"/>
    <col min="17" max="17" width="24.28515625" style="4" bestFit="1" customWidth="1"/>
    <col min="18" max="18" width="20.42578125" bestFit="1" customWidth="1"/>
    <col min="19" max="19" width="33.85546875" bestFit="1" customWidth="1"/>
  </cols>
  <sheetData>
    <row r="1" spans="1:20" x14ac:dyDescent="0.25">
      <c r="A1" t="s">
        <v>1</v>
      </c>
      <c r="B1" s="3" t="s">
        <v>2</v>
      </c>
      <c r="C1" s="1" t="s">
        <v>0</v>
      </c>
      <c r="E1" s="1" t="s">
        <v>3</v>
      </c>
      <c r="F1" s="6">
        <v>0.5</v>
      </c>
      <c r="G1" s="6">
        <v>0.2</v>
      </c>
      <c r="H1" s="6">
        <v>0.1</v>
      </c>
      <c r="I1" s="6">
        <v>0.08</v>
      </c>
      <c r="J1" s="6">
        <v>0.06</v>
      </c>
      <c r="K1" s="6">
        <v>0.04</v>
      </c>
      <c r="L1" s="6">
        <v>0.02</v>
      </c>
      <c r="M1" s="9" t="s">
        <v>4</v>
      </c>
      <c r="N1" s="9"/>
      <c r="P1" t="s">
        <v>1</v>
      </c>
      <c r="Q1" s="3" t="s">
        <v>2</v>
      </c>
      <c r="R1" s="9" t="s">
        <v>4</v>
      </c>
      <c r="S1" t="s">
        <v>5</v>
      </c>
      <c r="T1" t="str">
        <f>P1&amp;","&amp;Q1&amp;","&amp;R1&amp;","&amp;S1</f>
        <v>level,xp_required,chips_reward,daily_bonus_multiplier</v>
      </c>
    </row>
    <row r="2" spans="1:20" x14ac:dyDescent="0.25">
      <c r="A2">
        <v>1</v>
      </c>
      <c r="B2" s="5">
        <v>0</v>
      </c>
      <c r="E2" s="1">
        <f>+S2*10000</f>
        <v>10000</v>
      </c>
      <c r="F2" s="1">
        <f>$C3/($E2*1)</f>
        <v>2</v>
      </c>
      <c r="G2" s="1">
        <f>$C3/($E2*2)</f>
        <v>1</v>
      </c>
      <c r="H2" s="1">
        <f>$C3/($E2*5)</f>
        <v>0.4</v>
      </c>
      <c r="I2" s="1">
        <f>$C3/($E2*10)</f>
        <v>0.2</v>
      </c>
      <c r="J2" s="1">
        <f>$C3/($E2*15)</f>
        <v>0.13333333333333333</v>
      </c>
      <c r="K2" s="1">
        <f>$C3/($E2*30)</f>
        <v>6.6666666666666666E-2</v>
      </c>
      <c r="L2" s="1">
        <f>$C3/($E2*100)</f>
        <v>0.02</v>
      </c>
      <c r="M2" s="4">
        <f>ROUND(MAX(E3*6.3*10%,C3*0.05%),-MAX(2,INT(LOG10(MAX(E3*6.3*10%,C3*0.05%)))-2))</f>
        <v>6600</v>
      </c>
      <c r="N2" s="4"/>
      <c r="O2" s="8"/>
      <c r="P2">
        <v>1</v>
      </c>
      <c r="Q2" s="5">
        <v>0</v>
      </c>
      <c r="R2" s="4">
        <v>6600</v>
      </c>
      <c r="S2">
        <v>1</v>
      </c>
      <c r="T2" t="str">
        <f t="shared" ref="T2:T65" si="0">P2&amp;","&amp;Q2&amp;","&amp;R2&amp;","&amp;S2</f>
        <v>1,0,6600,1</v>
      </c>
    </row>
    <row r="3" spans="1:20" x14ac:dyDescent="0.25">
      <c r="A3">
        <v>2</v>
      </c>
      <c r="B3" s="1">
        <v>20000</v>
      </c>
      <c r="C3" s="1">
        <v>20000</v>
      </c>
      <c r="E3" s="1">
        <f>+S3*10000</f>
        <v>10400</v>
      </c>
      <c r="F3" s="1">
        <f>$C4/($E3*1)</f>
        <v>1.9230769230769231</v>
      </c>
      <c r="G3" s="1">
        <f>$C4/($E3*2)</f>
        <v>0.96153846153846156</v>
      </c>
      <c r="H3" s="1">
        <f>$C4/($E3*5)</f>
        <v>0.38461538461538464</v>
      </c>
      <c r="I3" s="1">
        <f>$C4/($E3*10)</f>
        <v>0.19230769230769232</v>
      </c>
      <c r="J3" s="1">
        <f>$C4/($E3*15)</f>
        <v>0.12820512820512819</v>
      </c>
      <c r="K3" s="1">
        <f>$C4/($E3*30)</f>
        <v>6.4102564102564097E-2</v>
      </c>
      <c r="L3" s="1">
        <f>$C4/($E3*100)</f>
        <v>1.9230769230769232E-2</v>
      </c>
      <c r="M3" s="4">
        <f t="shared" ref="M3:M66" si="1">ROUND(MAX(E4*6.3*10%,C4*0.05%),-MAX(2,INT(LOG10(MAX(E4*6.3*10%,C4*0.05%)))-2))</f>
        <v>6700</v>
      </c>
      <c r="N3" s="4"/>
      <c r="O3" s="8"/>
      <c r="P3">
        <v>2</v>
      </c>
      <c r="Q3" s="1">
        <v>20000</v>
      </c>
      <c r="R3" s="4">
        <v>6700</v>
      </c>
      <c r="S3">
        <f>ROUND(1.02^A3,2)</f>
        <v>1.04</v>
      </c>
      <c r="T3" t="str">
        <f t="shared" si="0"/>
        <v>2,20000,6700,1,04</v>
      </c>
    </row>
    <row r="4" spans="1:20" x14ac:dyDescent="0.25">
      <c r="A4">
        <f>+A3+1</f>
        <v>3</v>
      </c>
      <c r="B4" s="1">
        <v>40000</v>
      </c>
      <c r="C4" s="1">
        <v>20000</v>
      </c>
      <c r="E4" s="1">
        <f>+S4*10000</f>
        <v>10600</v>
      </c>
      <c r="F4" s="1">
        <f t="shared" ref="F4:F67" si="2">$C5/($E4*1)</f>
        <v>1.8867924528301887</v>
      </c>
      <c r="G4" s="1">
        <f t="shared" ref="G4:G67" si="3">$C5/($E4*2)</f>
        <v>0.94339622641509435</v>
      </c>
      <c r="H4" s="1">
        <f t="shared" ref="H4:H67" si="4">$C5/($E4*5)</f>
        <v>0.37735849056603776</v>
      </c>
      <c r="I4" s="1">
        <f t="shared" ref="I4:I67" si="5">$C5/($E4*10)</f>
        <v>0.18867924528301888</v>
      </c>
      <c r="J4" s="1">
        <f t="shared" ref="J4:J67" si="6">$C5/($E4*15)</f>
        <v>0.12578616352201258</v>
      </c>
      <c r="K4" s="1">
        <f t="shared" ref="K4:K67" si="7">$C5/($E4*30)</f>
        <v>6.2893081761006289E-2</v>
      </c>
      <c r="L4" s="1">
        <f t="shared" ref="L4:L67" si="8">$C5/($E4*100)</f>
        <v>1.8867924528301886E-2</v>
      </c>
      <c r="M4" s="4">
        <f t="shared" si="1"/>
        <v>6800</v>
      </c>
      <c r="N4" s="4"/>
      <c r="O4" s="8"/>
      <c r="P4">
        <v>3</v>
      </c>
      <c r="Q4" s="1">
        <v>40000</v>
      </c>
      <c r="R4" s="4">
        <v>6800</v>
      </c>
      <c r="S4">
        <f>ROUND(1.02^A4,2)</f>
        <v>1.06</v>
      </c>
      <c r="T4" t="str">
        <f t="shared" si="0"/>
        <v>3,40000,6800,1,06</v>
      </c>
    </row>
    <row r="5" spans="1:20" x14ac:dyDescent="0.25">
      <c r="A5">
        <f t="shared" ref="A5:A68" si="9">+A4+1</f>
        <v>4</v>
      </c>
      <c r="B5" s="1">
        <v>60000</v>
      </c>
      <c r="C5" s="1">
        <v>20000</v>
      </c>
      <c r="E5" s="1">
        <f>+S5*10000</f>
        <v>10800</v>
      </c>
      <c r="F5" s="1">
        <f t="shared" si="2"/>
        <v>2.7777777777777777</v>
      </c>
      <c r="G5" s="1">
        <f t="shared" si="3"/>
        <v>1.3888888888888888</v>
      </c>
      <c r="H5" s="1">
        <f t="shared" si="4"/>
        <v>0.55555555555555558</v>
      </c>
      <c r="I5" s="1">
        <f t="shared" si="5"/>
        <v>0.27777777777777779</v>
      </c>
      <c r="J5" s="1">
        <f t="shared" si="6"/>
        <v>0.18518518518518517</v>
      </c>
      <c r="K5" s="1">
        <f t="shared" si="7"/>
        <v>9.2592592592592587E-2</v>
      </c>
      <c r="L5" s="1">
        <f t="shared" si="8"/>
        <v>2.7777777777777776E-2</v>
      </c>
      <c r="M5" s="4">
        <f t="shared" si="1"/>
        <v>6900</v>
      </c>
      <c r="N5" s="4"/>
      <c r="O5" s="8"/>
      <c r="P5">
        <v>4</v>
      </c>
      <c r="Q5" s="1">
        <v>60000</v>
      </c>
      <c r="R5" s="4">
        <v>6900</v>
      </c>
      <c r="S5">
        <f>ROUND(1.02^A5,2)</f>
        <v>1.08</v>
      </c>
      <c r="T5" t="str">
        <f t="shared" si="0"/>
        <v>4,60000,6900,1,08</v>
      </c>
    </row>
    <row r="6" spans="1:20" x14ac:dyDescent="0.25">
      <c r="A6">
        <f t="shared" si="9"/>
        <v>5</v>
      </c>
      <c r="B6" s="1">
        <v>90000</v>
      </c>
      <c r="C6" s="1">
        <v>30000</v>
      </c>
      <c r="E6" s="1">
        <f>+S6*10000</f>
        <v>11000</v>
      </c>
      <c r="F6" s="1">
        <f t="shared" si="2"/>
        <v>2.7272727272727271</v>
      </c>
      <c r="G6" s="1">
        <f t="shared" si="3"/>
        <v>1.3636363636363635</v>
      </c>
      <c r="H6" s="1">
        <f t="shared" si="4"/>
        <v>0.54545454545454541</v>
      </c>
      <c r="I6" s="1">
        <f t="shared" si="5"/>
        <v>0.27272727272727271</v>
      </c>
      <c r="J6" s="1">
        <f t="shared" si="6"/>
        <v>0.18181818181818182</v>
      </c>
      <c r="K6" s="1">
        <f t="shared" si="7"/>
        <v>9.0909090909090912E-2</v>
      </c>
      <c r="L6" s="1">
        <f t="shared" si="8"/>
        <v>2.7272727272727271E-2</v>
      </c>
      <c r="M6" s="4">
        <f t="shared" si="1"/>
        <v>7100</v>
      </c>
      <c r="N6" s="4"/>
      <c r="O6" s="8"/>
      <c r="P6">
        <v>5</v>
      </c>
      <c r="Q6" s="1">
        <v>90000</v>
      </c>
      <c r="R6" s="4">
        <v>7100</v>
      </c>
      <c r="S6">
        <f>ROUND(1.02^A6,2)</f>
        <v>1.1000000000000001</v>
      </c>
      <c r="T6" t="str">
        <f t="shared" si="0"/>
        <v>5,90000,7100,1,1</v>
      </c>
    </row>
    <row r="7" spans="1:20" x14ac:dyDescent="0.25">
      <c r="A7">
        <f t="shared" si="9"/>
        <v>6</v>
      </c>
      <c r="B7" s="1">
        <v>120000</v>
      </c>
      <c r="C7" s="1">
        <v>30000</v>
      </c>
      <c r="E7" s="1">
        <f>+S7*10000</f>
        <v>11299.999999999998</v>
      </c>
      <c r="F7" s="1">
        <f t="shared" si="2"/>
        <v>2.6548672566371687</v>
      </c>
      <c r="G7" s="1">
        <f t="shared" si="3"/>
        <v>1.3274336283185844</v>
      </c>
      <c r="H7" s="1">
        <f t="shared" si="4"/>
        <v>0.53097345132743368</v>
      </c>
      <c r="I7" s="1">
        <f t="shared" si="5"/>
        <v>0.26548672566371684</v>
      </c>
      <c r="J7" s="1">
        <f t="shared" si="6"/>
        <v>0.1769911504424779</v>
      </c>
      <c r="K7" s="1">
        <f t="shared" si="7"/>
        <v>8.8495575221238951E-2</v>
      </c>
      <c r="L7" s="1">
        <f t="shared" si="8"/>
        <v>2.6548672566371688E-2</v>
      </c>
      <c r="M7" s="4">
        <f t="shared" si="1"/>
        <v>7200</v>
      </c>
      <c r="N7" s="4"/>
      <c r="O7" s="8"/>
      <c r="P7">
        <v>6</v>
      </c>
      <c r="Q7" s="1">
        <v>120000</v>
      </c>
      <c r="R7" s="4">
        <v>7200</v>
      </c>
      <c r="S7">
        <f>ROUND(1.02^A7,2)</f>
        <v>1.1299999999999999</v>
      </c>
      <c r="T7" t="str">
        <f t="shared" si="0"/>
        <v>6,120000,7200,1,13</v>
      </c>
    </row>
    <row r="8" spans="1:20" x14ac:dyDescent="0.25">
      <c r="A8">
        <f t="shared" si="9"/>
        <v>7</v>
      </c>
      <c r="B8" s="1">
        <v>150000</v>
      </c>
      <c r="C8" s="1">
        <v>30000</v>
      </c>
      <c r="E8" s="1">
        <f>+S8*10000</f>
        <v>11500</v>
      </c>
      <c r="F8" s="1">
        <f t="shared" si="2"/>
        <v>2.6086956521739131</v>
      </c>
      <c r="G8" s="1">
        <f t="shared" si="3"/>
        <v>1.3043478260869565</v>
      </c>
      <c r="H8" s="1">
        <f t="shared" si="4"/>
        <v>0.52173913043478259</v>
      </c>
      <c r="I8" s="1">
        <f t="shared" si="5"/>
        <v>0.2608695652173913</v>
      </c>
      <c r="J8" s="1">
        <f t="shared" si="6"/>
        <v>0.17391304347826086</v>
      </c>
      <c r="K8" s="1">
        <f t="shared" si="7"/>
        <v>8.6956521739130432E-2</v>
      </c>
      <c r="L8" s="1">
        <f t="shared" si="8"/>
        <v>2.6086956521739129E-2</v>
      </c>
      <c r="M8" s="4">
        <f t="shared" si="1"/>
        <v>7400</v>
      </c>
      <c r="N8" s="4"/>
      <c r="O8" s="8"/>
      <c r="P8">
        <v>7</v>
      </c>
      <c r="Q8" s="1">
        <v>150000</v>
      </c>
      <c r="R8" s="4">
        <v>7400</v>
      </c>
      <c r="S8">
        <f>ROUND(1.02^A8,2)</f>
        <v>1.1499999999999999</v>
      </c>
      <c r="T8" t="str">
        <f t="shared" si="0"/>
        <v>7,150000,7400,1,15</v>
      </c>
    </row>
    <row r="9" spans="1:20" x14ac:dyDescent="0.25">
      <c r="A9">
        <f t="shared" si="9"/>
        <v>8</v>
      </c>
      <c r="B9" s="1">
        <v>180000</v>
      </c>
      <c r="C9" s="1">
        <v>30000</v>
      </c>
      <c r="E9" s="1">
        <f>+S9*10000</f>
        <v>11700</v>
      </c>
      <c r="F9" s="1">
        <f t="shared" si="2"/>
        <v>2.5641025641025643</v>
      </c>
      <c r="G9" s="1">
        <f t="shared" si="3"/>
        <v>1.2820512820512822</v>
      </c>
      <c r="H9" s="1">
        <f t="shared" si="4"/>
        <v>0.51282051282051277</v>
      </c>
      <c r="I9" s="1">
        <f t="shared" si="5"/>
        <v>0.25641025641025639</v>
      </c>
      <c r="J9" s="1">
        <f t="shared" si="6"/>
        <v>0.17094017094017094</v>
      </c>
      <c r="K9" s="1">
        <f t="shared" si="7"/>
        <v>8.5470085470085472E-2</v>
      </c>
      <c r="L9" s="1">
        <f t="shared" si="8"/>
        <v>2.564102564102564E-2</v>
      </c>
      <c r="M9" s="4">
        <f t="shared" si="1"/>
        <v>7600</v>
      </c>
      <c r="N9" s="4"/>
      <c r="O9" s="8"/>
      <c r="P9">
        <v>8</v>
      </c>
      <c r="Q9" s="1">
        <v>180000</v>
      </c>
      <c r="R9" s="4">
        <v>7600</v>
      </c>
      <c r="S9">
        <f>ROUND(1.02^A9,2)</f>
        <v>1.17</v>
      </c>
      <c r="T9" t="str">
        <f t="shared" si="0"/>
        <v>8,180000,7600,1,17</v>
      </c>
    </row>
    <row r="10" spans="1:20" x14ac:dyDescent="0.25">
      <c r="A10">
        <f t="shared" si="9"/>
        <v>9</v>
      </c>
      <c r="B10" s="1">
        <v>210000</v>
      </c>
      <c r="C10" s="1">
        <v>30000</v>
      </c>
      <c r="E10" s="1">
        <f>+S10*10000</f>
        <v>12000</v>
      </c>
      <c r="F10" s="1">
        <f t="shared" si="2"/>
        <v>3.3333333333333335</v>
      </c>
      <c r="G10" s="1">
        <f t="shared" si="3"/>
        <v>1.6666666666666667</v>
      </c>
      <c r="H10" s="1">
        <f t="shared" si="4"/>
        <v>0.66666666666666663</v>
      </c>
      <c r="I10" s="1">
        <f t="shared" si="5"/>
        <v>0.33333333333333331</v>
      </c>
      <c r="J10" s="1">
        <f t="shared" si="6"/>
        <v>0.22222222222222221</v>
      </c>
      <c r="K10" s="1">
        <f t="shared" si="7"/>
        <v>0.1111111111111111</v>
      </c>
      <c r="L10" s="1">
        <f t="shared" si="8"/>
        <v>3.3333333333333333E-2</v>
      </c>
      <c r="M10" s="4">
        <f t="shared" si="1"/>
        <v>7700</v>
      </c>
      <c r="N10" s="4"/>
      <c r="O10" s="8"/>
      <c r="P10">
        <v>9</v>
      </c>
      <c r="Q10" s="1">
        <v>210000</v>
      </c>
      <c r="R10" s="4">
        <v>7700</v>
      </c>
      <c r="S10">
        <f>ROUND(1.02^A10,2)</f>
        <v>1.2</v>
      </c>
      <c r="T10" t="str">
        <f t="shared" si="0"/>
        <v>9,210000,7700,1,2</v>
      </c>
    </row>
    <row r="11" spans="1:20" x14ac:dyDescent="0.25">
      <c r="A11">
        <f t="shared" si="9"/>
        <v>10</v>
      </c>
      <c r="B11" s="1">
        <v>250000</v>
      </c>
      <c r="C11" s="1">
        <v>40000</v>
      </c>
      <c r="E11" s="1">
        <f>+S11*10000</f>
        <v>12200</v>
      </c>
      <c r="F11" s="1">
        <f t="shared" si="2"/>
        <v>3.278688524590164</v>
      </c>
      <c r="G11" s="1">
        <f t="shared" si="3"/>
        <v>1.639344262295082</v>
      </c>
      <c r="H11" s="1">
        <f t="shared" si="4"/>
        <v>0.65573770491803274</v>
      </c>
      <c r="I11" s="1">
        <f t="shared" si="5"/>
        <v>0.32786885245901637</v>
      </c>
      <c r="J11" s="1">
        <f t="shared" si="6"/>
        <v>0.21857923497267759</v>
      </c>
      <c r="K11" s="1">
        <f t="shared" si="7"/>
        <v>0.10928961748633879</v>
      </c>
      <c r="L11" s="1">
        <f t="shared" si="8"/>
        <v>3.2786885245901641E-2</v>
      </c>
      <c r="M11" s="4">
        <f t="shared" si="1"/>
        <v>7800</v>
      </c>
      <c r="N11" s="4"/>
      <c r="O11" s="8"/>
      <c r="P11">
        <v>10</v>
      </c>
      <c r="Q11" s="1">
        <v>250000</v>
      </c>
      <c r="R11" s="4">
        <v>7800</v>
      </c>
      <c r="S11">
        <f>ROUND(1.02^A11,2)</f>
        <v>1.22</v>
      </c>
      <c r="T11" t="str">
        <f t="shared" si="0"/>
        <v>10,250000,7800,1,22</v>
      </c>
    </row>
    <row r="12" spans="1:20" x14ac:dyDescent="0.25">
      <c r="A12">
        <f t="shared" si="9"/>
        <v>11</v>
      </c>
      <c r="B12" s="1">
        <v>290000</v>
      </c>
      <c r="C12" s="1">
        <v>40000</v>
      </c>
      <c r="E12" s="1">
        <f>+S12*10000</f>
        <v>12400</v>
      </c>
      <c r="F12" s="1">
        <f t="shared" si="2"/>
        <v>3.225806451612903</v>
      </c>
      <c r="G12" s="1">
        <f t="shared" si="3"/>
        <v>1.6129032258064515</v>
      </c>
      <c r="H12" s="1">
        <f t="shared" si="4"/>
        <v>0.64516129032258063</v>
      </c>
      <c r="I12" s="1">
        <f t="shared" si="5"/>
        <v>0.32258064516129031</v>
      </c>
      <c r="J12" s="1">
        <f t="shared" si="6"/>
        <v>0.21505376344086022</v>
      </c>
      <c r="K12" s="1">
        <f t="shared" si="7"/>
        <v>0.10752688172043011</v>
      </c>
      <c r="L12" s="1">
        <f t="shared" si="8"/>
        <v>3.2258064516129031E-2</v>
      </c>
      <c r="M12" s="4">
        <f t="shared" si="1"/>
        <v>8000</v>
      </c>
      <c r="N12" s="4"/>
      <c r="O12" s="8"/>
      <c r="P12">
        <v>11</v>
      </c>
      <c r="Q12" s="1">
        <v>290000</v>
      </c>
      <c r="R12" s="4">
        <v>8000</v>
      </c>
      <c r="S12">
        <f>ROUND(1.02^A12,2)</f>
        <v>1.24</v>
      </c>
      <c r="T12" t="str">
        <f t="shared" si="0"/>
        <v>11,290000,8000,1,24</v>
      </c>
    </row>
    <row r="13" spans="1:20" x14ac:dyDescent="0.25">
      <c r="A13">
        <f t="shared" si="9"/>
        <v>12</v>
      </c>
      <c r="B13" s="1">
        <v>330000</v>
      </c>
      <c r="C13" s="1">
        <v>40000</v>
      </c>
      <c r="E13" s="1">
        <f>+S13*10000</f>
        <v>12700</v>
      </c>
      <c r="F13" s="1">
        <f t="shared" si="2"/>
        <v>3.9370078740157481</v>
      </c>
      <c r="G13" s="1">
        <f t="shared" si="3"/>
        <v>1.9685039370078741</v>
      </c>
      <c r="H13" s="1">
        <f t="shared" si="4"/>
        <v>0.78740157480314965</v>
      </c>
      <c r="I13" s="1">
        <f t="shared" si="5"/>
        <v>0.39370078740157483</v>
      </c>
      <c r="J13" s="1">
        <f t="shared" si="6"/>
        <v>0.26246719160104987</v>
      </c>
      <c r="K13" s="1">
        <f t="shared" si="7"/>
        <v>0.13123359580052493</v>
      </c>
      <c r="L13" s="1">
        <f t="shared" si="8"/>
        <v>3.937007874015748E-2</v>
      </c>
      <c r="M13" s="4">
        <f t="shared" si="1"/>
        <v>8100</v>
      </c>
      <c r="N13" s="4"/>
      <c r="O13" s="8"/>
      <c r="P13">
        <v>12</v>
      </c>
      <c r="Q13" s="1">
        <v>330000</v>
      </c>
      <c r="R13" s="4">
        <v>8100</v>
      </c>
      <c r="S13">
        <f>ROUND(1.02^A13,2)</f>
        <v>1.27</v>
      </c>
      <c r="T13" t="str">
        <f t="shared" si="0"/>
        <v>12,330000,8100,1,27</v>
      </c>
    </row>
    <row r="14" spans="1:20" x14ac:dyDescent="0.25">
      <c r="A14">
        <f t="shared" si="9"/>
        <v>13</v>
      </c>
      <c r="B14" s="1">
        <v>380000</v>
      </c>
      <c r="C14" s="1">
        <v>50000</v>
      </c>
      <c r="E14" s="1">
        <f>+S14*10000</f>
        <v>12900</v>
      </c>
      <c r="F14" s="1">
        <f t="shared" si="2"/>
        <v>3.8759689922480618</v>
      </c>
      <c r="G14" s="1">
        <f t="shared" si="3"/>
        <v>1.9379844961240309</v>
      </c>
      <c r="H14" s="1">
        <f t="shared" si="4"/>
        <v>0.77519379844961245</v>
      </c>
      <c r="I14" s="1">
        <f t="shared" si="5"/>
        <v>0.38759689922480622</v>
      </c>
      <c r="J14" s="1">
        <f t="shared" si="6"/>
        <v>0.25839793281653745</v>
      </c>
      <c r="K14" s="1">
        <f t="shared" si="7"/>
        <v>0.12919896640826872</v>
      </c>
      <c r="L14" s="1">
        <f t="shared" si="8"/>
        <v>3.875968992248062E-2</v>
      </c>
      <c r="M14" s="4">
        <f t="shared" si="1"/>
        <v>8300</v>
      </c>
      <c r="N14" s="4"/>
      <c r="O14" s="8"/>
      <c r="P14">
        <v>13</v>
      </c>
      <c r="Q14" s="1">
        <v>380000</v>
      </c>
      <c r="R14" s="4">
        <v>8300</v>
      </c>
      <c r="S14">
        <f>ROUND(1.02^A14,2)</f>
        <v>1.29</v>
      </c>
      <c r="T14" t="str">
        <f t="shared" si="0"/>
        <v>13,380000,8300,1,29</v>
      </c>
    </row>
    <row r="15" spans="1:20" x14ac:dyDescent="0.25">
      <c r="A15">
        <f t="shared" si="9"/>
        <v>14</v>
      </c>
      <c r="B15" s="1">
        <v>430000</v>
      </c>
      <c r="C15" s="1">
        <v>50000</v>
      </c>
      <c r="E15" s="1">
        <f>+S15*10000</f>
        <v>13200</v>
      </c>
      <c r="F15" s="1">
        <f t="shared" si="2"/>
        <v>3.7878787878787881</v>
      </c>
      <c r="G15" s="1">
        <f t="shared" si="3"/>
        <v>1.893939393939394</v>
      </c>
      <c r="H15" s="1">
        <f t="shared" si="4"/>
        <v>0.75757575757575757</v>
      </c>
      <c r="I15" s="1">
        <f t="shared" si="5"/>
        <v>0.37878787878787878</v>
      </c>
      <c r="J15" s="1">
        <f t="shared" si="6"/>
        <v>0.25252525252525254</v>
      </c>
      <c r="K15" s="1">
        <f t="shared" si="7"/>
        <v>0.12626262626262627</v>
      </c>
      <c r="L15" s="1">
        <f t="shared" si="8"/>
        <v>3.787878787878788E-2</v>
      </c>
      <c r="M15" s="4">
        <f t="shared" si="1"/>
        <v>8500</v>
      </c>
      <c r="N15" s="4"/>
      <c r="O15" s="8"/>
      <c r="P15">
        <v>14</v>
      </c>
      <c r="Q15" s="1">
        <v>430000</v>
      </c>
      <c r="R15" s="4">
        <v>8500</v>
      </c>
      <c r="S15">
        <f>ROUND(1.02^A15,2)</f>
        <v>1.32</v>
      </c>
      <c r="T15" t="str">
        <f t="shared" si="0"/>
        <v>14,430000,8500,1,32</v>
      </c>
    </row>
    <row r="16" spans="1:20" x14ac:dyDescent="0.25">
      <c r="A16">
        <f t="shared" si="9"/>
        <v>15</v>
      </c>
      <c r="B16" s="1">
        <v>480000</v>
      </c>
      <c r="C16" s="1">
        <v>50000</v>
      </c>
      <c r="E16" s="1">
        <f>+S16*10000</f>
        <v>13500</v>
      </c>
      <c r="F16" s="1">
        <f t="shared" si="2"/>
        <v>4.4444444444444446</v>
      </c>
      <c r="G16" s="1">
        <f t="shared" si="3"/>
        <v>2.2222222222222223</v>
      </c>
      <c r="H16" s="1">
        <f t="shared" si="4"/>
        <v>0.88888888888888884</v>
      </c>
      <c r="I16" s="1">
        <f t="shared" si="5"/>
        <v>0.44444444444444442</v>
      </c>
      <c r="J16" s="1">
        <f t="shared" si="6"/>
        <v>0.29629629629629628</v>
      </c>
      <c r="K16" s="1">
        <f t="shared" si="7"/>
        <v>0.14814814814814814</v>
      </c>
      <c r="L16" s="1">
        <f t="shared" si="8"/>
        <v>4.4444444444444446E-2</v>
      </c>
      <c r="M16" s="4">
        <f t="shared" si="1"/>
        <v>8600</v>
      </c>
      <c r="N16" s="4"/>
      <c r="O16" s="8"/>
      <c r="P16">
        <v>15</v>
      </c>
      <c r="Q16" s="1">
        <v>480000</v>
      </c>
      <c r="R16" s="4">
        <v>8600</v>
      </c>
      <c r="S16">
        <f>ROUND(1.02^A16,2)</f>
        <v>1.35</v>
      </c>
      <c r="T16" t="str">
        <f t="shared" si="0"/>
        <v>15,480000,8600,1,35</v>
      </c>
    </row>
    <row r="17" spans="1:20" x14ac:dyDescent="0.25">
      <c r="A17">
        <f t="shared" si="9"/>
        <v>16</v>
      </c>
      <c r="B17" s="1">
        <v>540000</v>
      </c>
      <c r="C17" s="1">
        <v>60000</v>
      </c>
      <c r="E17" s="1">
        <f>+S17*10000</f>
        <v>13700.000000000002</v>
      </c>
      <c r="F17" s="1">
        <f t="shared" si="2"/>
        <v>4.3795620437956195</v>
      </c>
      <c r="G17" s="1">
        <f t="shared" si="3"/>
        <v>2.1897810218978098</v>
      </c>
      <c r="H17" s="1">
        <f t="shared" si="4"/>
        <v>0.87591240875912391</v>
      </c>
      <c r="I17" s="1">
        <f t="shared" si="5"/>
        <v>0.43795620437956195</v>
      </c>
      <c r="J17" s="1">
        <f t="shared" si="6"/>
        <v>0.29197080291970801</v>
      </c>
      <c r="K17" s="1">
        <f t="shared" si="7"/>
        <v>0.145985401459854</v>
      </c>
      <c r="L17" s="1">
        <f t="shared" si="8"/>
        <v>4.3795620437956199E-2</v>
      </c>
      <c r="M17" s="4">
        <f t="shared" si="1"/>
        <v>8800</v>
      </c>
      <c r="N17" s="4"/>
      <c r="O17" s="8"/>
      <c r="P17">
        <v>16</v>
      </c>
      <c r="Q17" s="1">
        <v>540000</v>
      </c>
      <c r="R17" s="4">
        <v>8800</v>
      </c>
      <c r="S17">
        <f>ROUND(1.02^A17,2)</f>
        <v>1.37</v>
      </c>
      <c r="T17" t="str">
        <f t="shared" si="0"/>
        <v>16,540000,8800,1,37</v>
      </c>
    </row>
    <row r="18" spans="1:20" x14ac:dyDescent="0.25">
      <c r="A18">
        <f t="shared" si="9"/>
        <v>17</v>
      </c>
      <c r="B18" s="1">
        <v>600000</v>
      </c>
      <c r="C18" s="1">
        <v>60000</v>
      </c>
      <c r="E18" s="1">
        <f>+S18*10000</f>
        <v>14000</v>
      </c>
      <c r="F18" s="1">
        <f t="shared" si="2"/>
        <v>5</v>
      </c>
      <c r="G18" s="1">
        <f t="shared" si="3"/>
        <v>2.5</v>
      </c>
      <c r="H18" s="1">
        <f t="shared" si="4"/>
        <v>1</v>
      </c>
      <c r="I18" s="1">
        <f t="shared" si="5"/>
        <v>0.5</v>
      </c>
      <c r="J18" s="1">
        <f t="shared" si="6"/>
        <v>0.33333333333333331</v>
      </c>
      <c r="K18" s="1">
        <f t="shared" si="7"/>
        <v>0.16666666666666666</v>
      </c>
      <c r="L18" s="1">
        <f t="shared" si="8"/>
        <v>0.05</v>
      </c>
      <c r="M18" s="4">
        <f t="shared" si="1"/>
        <v>9000</v>
      </c>
      <c r="N18" s="4"/>
      <c r="O18" s="8"/>
      <c r="P18">
        <v>17</v>
      </c>
      <c r="Q18" s="1">
        <v>600000</v>
      </c>
      <c r="R18" s="4">
        <v>9000</v>
      </c>
      <c r="S18">
        <f>ROUND(1.02^A18,2)</f>
        <v>1.4</v>
      </c>
      <c r="T18" t="str">
        <f t="shared" si="0"/>
        <v>17,600000,9000,1,4</v>
      </c>
    </row>
    <row r="19" spans="1:20" x14ac:dyDescent="0.25">
      <c r="A19">
        <f t="shared" si="9"/>
        <v>18</v>
      </c>
      <c r="B19" s="1">
        <v>670000</v>
      </c>
      <c r="C19" s="1">
        <v>70000</v>
      </c>
      <c r="E19" s="1">
        <f>+S19*10000</f>
        <v>14300</v>
      </c>
      <c r="F19" s="1">
        <f t="shared" si="2"/>
        <v>4.895104895104895</v>
      </c>
      <c r="G19" s="1">
        <f t="shared" si="3"/>
        <v>2.4475524475524475</v>
      </c>
      <c r="H19" s="1">
        <f t="shared" si="4"/>
        <v>0.97902097902097907</v>
      </c>
      <c r="I19" s="1">
        <f t="shared" si="5"/>
        <v>0.48951048951048953</v>
      </c>
      <c r="J19" s="1">
        <f t="shared" si="6"/>
        <v>0.32634032634032634</v>
      </c>
      <c r="K19" s="1">
        <f t="shared" si="7"/>
        <v>0.16317016317016317</v>
      </c>
      <c r="L19" s="1">
        <f t="shared" si="8"/>
        <v>4.8951048951048952E-2</v>
      </c>
      <c r="M19" s="4">
        <f t="shared" si="1"/>
        <v>9200</v>
      </c>
      <c r="N19" s="4"/>
      <c r="O19" s="8"/>
      <c r="P19">
        <v>18</v>
      </c>
      <c r="Q19" s="1">
        <v>670000</v>
      </c>
      <c r="R19" s="4">
        <v>9200</v>
      </c>
      <c r="S19">
        <f>ROUND(1.02^A19,2)</f>
        <v>1.43</v>
      </c>
      <c r="T19" t="str">
        <f t="shared" si="0"/>
        <v>18,670000,9200,1,43</v>
      </c>
    </row>
    <row r="20" spans="1:20" x14ac:dyDescent="0.25">
      <c r="A20">
        <f t="shared" si="9"/>
        <v>19</v>
      </c>
      <c r="B20" s="1">
        <v>740000</v>
      </c>
      <c r="C20" s="1">
        <v>70000</v>
      </c>
      <c r="E20" s="1">
        <f>+S20*10000</f>
        <v>14600</v>
      </c>
      <c r="F20" s="1">
        <f t="shared" si="2"/>
        <v>5.4794520547945202</v>
      </c>
      <c r="G20" s="1">
        <f t="shared" si="3"/>
        <v>2.7397260273972601</v>
      </c>
      <c r="H20" s="1">
        <f t="shared" si="4"/>
        <v>1.095890410958904</v>
      </c>
      <c r="I20" s="1">
        <f t="shared" si="5"/>
        <v>0.54794520547945202</v>
      </c>
      <c r="J20" s="1">
        <f t="shared" si="6"/>
        <v>0.36529680365296802</v>
      </c>
      <c r="K20" s="1">
        <f t="shared" si="7"/>
        <v>0.18264840182648401</v>
      </c>
      <c r="L20" s="1">
        <f t="shared" si="8"/>
        <v>5.4794520547945202E-2</v>
      </c>
      <c r="M20" s="4">
        <f t="shared" si="1"/>
        <v>9400</v>
      </c>
      <c r="N20" s="4"/>
      <c r="O20" s="8"/>
      <c r="P20">
        <v>19</v>
      </c>
      <c r="Q20" s="1">
        <v>740000</v>
      </c>
      <c r="R20" s="4">
        <v>9400</v>
      </c>
      <c r="S20">
        <f>ROUND(1.02^A20,2)</f>
        <v>1.46</v>
      </c>
      <c r="T20" t="str">
        <f t="shared" si="0"/>
        <v>19,740000,9400,1,46</v>
      </c>
    </row>
    <row r="21" spans="1:20" x14ac:dyDescent="0.25">
      <c r="A21">
        <f t="shared" si="9"/>
        <v>20</v>
      </c>
      <c r="B21" s="1">
        <v>820000</v>
      </c>
      <c r="C21" s="1">
        <v>80000</v>
      </c>
      <c r="E21" s="1">
        <f>+S21*10000</f>
        <v>14900</v>
      </c>
      <c r="F21" s="1">
        <f t="shared" si="2"/>
        <v>6.0402684563758386</v>
      </c>
      <c r="G21" s="1">
        <f t="shared" si="3"/>
        <v>3.0201342281879193</v>
      </c>
      <c r="H21" s="1">
        <f t="shared" si="4"/>
        <v>1.2080536912751678</v>
      </c>
      <c r="I21" s="1">
        <f t="shared" si="5"/>
        <v>0.60402684563758391</v>
      </c>
      <c r="J21" s="1">
        <f t="shared" si="6"/>
        <v>0.40268456375838924</v>
      </c>
      <c r="K21" s="1">
        <f t="shared" si="7"/>
        <v>0.20134228187919462</v>
      </c>
      <c r="L21" s="1">
        <f t="shared" si="8"/>
        <v>6.0402684563758392E-2</v>
      </c>
      <c r="M21" s="4">
        <f t="shared" si="1"/>
        <v>9600</v>
      </c>
      <c r="N21" s="4"/>
      <c r="O21" s="8"/>
      <c r="P21">
        <v>20</v>
      </c>
      <c r="Q21" s="1">
        <v>820000</v>
      </c>
      <c r="R21" s="4">
        <v>9600</v>
      </c>
      <c r="S21">
        <f>ROUND(1.02^A21,2)</f>
        <v>1.49</v>
      </c>
      <c r="T21" t="str">
        <f t="shared" si="0"/>
        <v>20,820000,9600,1,49</v>
      </c>
    </row>
    <row r="22" spans="1:20" x14ac:dyDescent="0.25">
      <c r="A22">
        <f t="shared" si="9"/>
        <v>21</v>
      </c>
      <c r="B22" s="1">
        <v>910000</v>
      </c>
      <c r="C22" s="1">
        <v>90000</v>
      </c>
      <c r="E22" s="1">
        <f>+S22*10000</f>
        <v>15200</v>
      </c>
      <c r="F22" s="1">
        <f t="shared" si="2"/>
        <v>5.9210526315789478</v>
      </c>
      <c r="G22" s="1">
        <f t="shared" si="3"/>
        <v>2.9605263157894739</v>
      </c>
      <c r="H22" s="1">
        <f t="shared" si="4"/>
        <v>1.1842105263157894</v>
      </c>
      <c r="I22" s="1">
        <f t="shared" si="5"/>
        <v>0.59210526315789469</v>
      </c>
      <c r="J22" s="1">
        <f t="shared" si="6"/>
        <v>0.39473684210526316</v>
      </c>
      <c r="K22" s="1">
        <f t="shared" si="7"/>
        <v>0.19736842105263158</v>
      </c>
      <c r="L22" s="1">
        <f t="shared" si="8"/>
        <v>5.921052631578947E-2</v>
      </c>
      <c r="M22" s="4">
        <f t="shared" si="1"/>
        <v>9800</v>
      </c>
      <c r="N22" s="4"/>
      <c r="O22" s="8"/>
      <c r="P22">
        <v>21</v>
      </c>
      <c r="Q22" s="1">
        <v>910000</v>
      </c>
      <c r="R22" s="4">
        <v>9800</v>
      </c>
      <c r="S22">
        <f>ROUND(1.02^A22,2)</f>
        <v>1.52</v>
      </c>
      <c r="T22" t="str">
        <f t="shared" si="0"/>
        <v>21,910000,9800,1,52</v>
      </c>
    </row>
    <row r="23" spans="1:20" x14ac:dyDescent="0.25">
      <c r="A23">
        <f t="shared" si="9"/>
        <v>22</v>
      </c>
      <c r="B23" s="1">
        <v>1000000</v>
      </c>
      <c r="C23" s="1">
        <v>90000</v>
      </c>
      <c r="E23" s="1">
        <f>+S23*10000</f>
        <v>15500</v>
      </c>
      <c r="F23" s="1">
        <f t="shared" si="2"/>
        <v>6.4516129032258061</v>
      </c>
      <c r="G23" s="1">
        <f t="shared" si="3"/>
        <v>3.225806451612903</v>
      </c>
      <c r="H23" s="1">
        <f t="shared" si="4"/>
        <v>1.2903225806451613</v>
      </c>
      <c r="I23" s="1">
        <f t="shared" si="5"/>
        <v>0.64516129032258063</v>
      </c>
      <c r="J23" s="1">
        <f t="shared" si="6"/>
        <v>0.43010752688172044</v>
      </c>
      <c r="K23" s="1">
        <f t="shared" si="7"/>
        <v>0.21505376344086022</v>
      </c>
      <c r="L23" s="1">
        <f t="shared" si="8"/>
        <v>6.4516129032258063E-2</v>
      </c>
      <c r="M23" s="4">
        <f t="shared" si="1"/>
        <v>10000</v>
      </c>
      <c r="N23" s="4"/>
      <c r="O23" s="8"/>
      <c r="P23">
        <v>22</v>
      </c>
      <c r="Q23" s="1">
        <v>1000000</v>
      </c>
      <c r="R23" s="4">
        <v>10000</v>
      </c>
      <c r="S23">
        <f>ROUND(1.02^A23,2)</f>
        <v>1.55</v>
      </c>
      <c r="T23" t="str">
        <f t="shared" si="0"/>
        <v>22,1000000,10000,1,55</v>
      </c>
    </row>
    <row r="24" spans="1:20" x14ac:dyDescent="0.25">
      <c r="A24">
        <f t="shared" si="9"/>
        <v>23</v>
      </c>
      <c r="B24" s="1">
        <v>1100000</v>
      </c>
      <c r="C24" s="1">
        <v>100000</v>
      </c>
      <c r="E24" s="1">
        <f>+S24*10000</f>
        <v>15800</v>
      </c>
      <c r="F24" s="1">
        <f t="shared" si="2"/>
        <v>6.3291139240506329</v>
      </c>
      <c r="G24" s="1">
        <f t="shared" si="3"/>
        <v>3.1645569620253164</v>
      </c>
      <c r="H24" s="1">
        <f t="shared" si="4"/>
        <v>1.2658227848101267</v>
      </c>
      <c r="I24" s="1">
        <f t="shared" si="5"/>
        <v>0.63291139240506333</v>
      </c>
      <c r="J24" s="1">
        <f t="shared" si="6"/>
        <v>0.4219409282700422</v>
      </c>
      <c r="K24" s="1">
        <f t="shared" si="7"/>
        <v>0.2109704641350211</v>
      </c>
      <c r="L24" s="1">
        <f t="shared" si="8"/>
        <v>6.3291139240506333E-2</v>
      </c>
      <c r="M24" s="4">
        <f t="shared" si="1"/>
        <v>10100</v>
      </c>
      <c r="N24" s="4"/>
      <c r="O24" s="8"/>
      <c r="P24">
        <v>23</v>
      </c>
      <c r="Q24" s="1">
        <v>1100000</v>
      </c>
      <c r="R24" s="4">
        <v>10100</v>
      </c>
      <c r="S24">
        <f>ROUND(1.02^A24,2)</f>
        <v>1.58</v>
      </c>
      <c r="T24" t="str">
        <f t="shared" si="0"/>
        <v>23,1100000,10100,1,58</v>
      </c>
    </row>
    <row r="25" spans="1:20" x14ac:dyDescent="0.25">
      <c r="A25">
        <f t="shared" si="9"/>
        <v>24</v>
      </c>
      <c r="B25" s="1">
        <v>1200000</v>
      </c>
      <c r="C25" s="1">
        <v>100000</v>
      </c>
      <c r="E25" s="1">
        <f>+S25*10000</f>
        <v>16100.000000000002</v>
      </c>
      <c r="F25" s="1">
        <f t="shared" si="2"/>
        <v>6.2111801242236018</v>
      </c>
      <c r="G25" s="1">
        <f t="shared" si="3"/>
        <v>3.1055900621118009</v>
      </c>
      <c r="H25" s="1">
        <f t="shared" si="4"/>
        <v>1.2422360248447202</v>
      </c>
      <c r="I25" s="1">
        <f t="shared" si="5"/>
        <v>0.62111801242236009</v>
      </c>
      <c r="J25" s="1">
        <f t="shared" si="6"/>
        <v>0.41407867494824013</v>
      </c>
      <c r="K25" s="1">
        <f t="shared" si="7"/>
        <v>0.20703933747412007</v>
      </c>
      <c r="L25" s="1">
        <f t="shared" si="8"/>
        <v>6.2111801242236017E-2</v>
      </c>
      <c r="M25" s="4">
        <f t="shared" si="1"/>
        <v>10300</v>
      </c>
      <c r="N25" s="4"/>
      <c r="O25" s="8"/>
      <c r="P25">
        <v>24</v>
      </c>
      <c r="Q25" s="1">
        <v>1200000</v>
      </c>
      <c r="R25" s="4">
        <v>10300</v>
      </c>
      <c r="S25">
        <f>ROUND(1.02^A25,2)</f>
        <v>1.61</v>
      </c>
      <c r="T25" t="str">
        <f t="shared" si="0"/>
        <v>24,1200000,10300,1,61</v>
      </c>
    </row>
    <row r="26" spans="1:20" x14ac:dyDescent="0.25">
      <c r="A26">
        <f t="shared" si="9"/>
        <v>25</v>
      </c>
      <c r="B26" s="1">
        <v>1300000</v>
      </c>
      <c r="C26" s="1">
        <v>100000</v>
      </c>
      <c r="E26" s="1">
        <f>+S26*10000</f>
        <v>16400</v>
      </c>
      <c r="F26" s="1">
        <f t="shared" si="2"/>
        <v>6.0975609756097562</v>
      </c>
      <c r="G26" s="1">
        <f t="shared" si="3"/>
        <v>3.0487804878048781</v>
      </c>
      <c r="H26" s="1">
        <f t="shared" si="4"/>
        <v>1.2195121951219512</v>
      </c>
      <c r="I26" s="1">
        <f t="shared" si="5"/>
        <v>0.6097560975609756</v>
      </c>
      <c r="J26" s="1">
        <f t="shared" si="6"/>
        <v>0.4065040650406504</v>
      </c>
      <c r="K26" s="1">
        <f t="shared" si="7"/>
        <v>0.2032520325203252</v>
      </c>
      <c r="L26" s="1">
        <f t="shared" si="8"/>
        <v>6.097560975609756E-2</v>
      </c>
      <c r="M26" s="4">
        <f t="shared" si="1"/>
        <v>10500</v>
      </c>
      <c r="N26" s="4"/>
      <c r="O26" s="8"/>
      <c r="P26">
        <v>25</v>
      </c>
      <c r="Q26" s="1">
        <v>1300000</v>
      </c>
      <c r="R26" s="4">
        <v>10500</v>
      </c>
      <c r="S26">
        <f>ROUND(1.02^A26,2)</f>
        <v>1.64</v>
      </c>
      <c r="T26" t="str">
        <f t="shared" si="0"/>
        <v>25,1300000,10500,1,64</v>
      </c>
    </row>
    <row r="27" spans="1:20" x14ac:dyDescent="0.25">
      <c r="A27">
        <f t="shared" si="9"/>
        <v>26</v>
      </c>
      <c r="B27" s="1">
        <v>1400000</v>
      </c>
      <c r="C27" s="1">
        <v>100000</v>
      </c>
      <c r="E27" s="1">
        <f>+S27*10000</f>
        <v>16700</v>
      </c>
      <c r="F27" s="1">
        <f t="shared" si="2"/>
        <v>5.9880239520958085</v>
      </c>
      <c r="G27" s="1">
        <f t="shared" si="3"/>
        <v>2.9940119760479043</v>
      </c>
      <c r="H27" s="1">
        <f t="shared" si="4"/>
        <v>1.1976047904191616</v>
      </c>
      <c r="I27" s="1">
        <f t="shared" si="5"/>
        <v>0.59880239520958078</v>
      </c>
      <c r="J27" s="1">
        <f t="shared" si="6"/>
        <v>0.39920159680638723</v>
      </c>
      <c r="K27" s="1">
        <f t="shared" si="7"/>
        <v>0.19960079840319361</v>
      </c>
      <c r="L27" s="1">
        <f t="shared" si="8"/>
        <v>5.9880239520958084E-2</v>
      </c>
      <c r="M27" s="4">
        <f t="shared" si="1"/>
        <v>10800</v>
      </c>
      <c r="N27" s="4"/>
      <c r="O27" s="8"/>
      <c r="P27">
        <v>26</v>
      </c>
      <c r="Q27" s="1">
        <v>1400000</v>
      </c>
      <c r="R27" s="4">
        <v>10800</v>
      </c>
      <c r="S27">
        <f>ROUND(1.02^A27,2)</f>
        <v>1.67</v>
      </c>
      <c r="T27" t="str">
        <f t="shared" si="0"/>
        <v>26,1400000,10800,1,67</v>
      </c>
    </row>
    <row r="28" spans="1:20" x14ac:dyDescent="0.25">
      <c r="A28">
        <f t="shared" si="9"/>
        <v>27</v>
      </c>
      <c r="B28" s="1">
        <v>1500000</v>
      </c>
      <c r="C28" s="1">
        <v>100000</v>
      </c>
      <c r="E28" s="1">
        <f>+S28*10000</f>
        <v>17100</v>
      </c>
      <c r="F28" s="1">
        <f t="shared" si="2"/>
        <v>5.8479532163742691</v>
      </c>
      <c r="G28" s="1">
        <f t="shared" si="3"/>
        <v>2.9239766081871346</v>
      </c>
      <c r="H28" s="1">
        <f t="shared" si="4"/>
        <v>1.1695906432748537</v>
      </c>
      <c r="I28" s="1">
        <f t="shared" si="5"/>
        <v>0.58479532163742687</v>
      </c>
      <c r="J28" s="1">
        <f t="shared" si="6"/>
        <v>0.38986354775828458</v>
      </c>
      <c r="K28" s="1">
        <f t="shared" si="7"/>
        <v>0.19493177387914229</v>
      </c>
      <c r="L28" s="1">
        <f t="shared" si="8"/>
        <v>5.8479532163742687E-2</v>
      </c>
      <c r="M28" s="4">
        <f t="shared" si="1"/>
        <v>11000</v>
      </c>
      <c r="N28" s="4"/>
      <c r="O28" s="8"/>
      <c r="P28">
        <v>27</v>
      </c>
      <c r="Q28" s="1">
        <v>1500000</v>
      </c>
      <c r="R28" s="4">
        <v>11000</v>
      </c>
      <c r="S28">
        <f>ROUND(1.02^A28,2)</f>
        <v>1.71</v>
      </c>
      <c r="T28" t="str">
        <f t="shared" si="0"/>
        <v>27,1500000,11000,1,71</v>
      </c>
    </row>
    <row r="29" spans="1:20" x14ac:dyDescent="0.25">
      <c r="A29">
        <f t="shared" si="9"/>
        <v>28</v>
      </c>
      <c r="B29" s="1">
        <v>1600000</v>
      </c>
      <c r="C29" s="1">
        <v>100000</v>
      </c>
      <c r="E29" s="1">
        <f>+S29*10000</f>
        <v>17400</v>
      </c>
      <c r="F29" s="1">
        <f t="shared" si="2"/>
        <v>11.494252873563218</v>
      </c>
      <c r="G29" s="1">
        <f t="shared" si="3"/>
        <v>5.7471264367816088</v>
      </c>
      <c r="H29" s="1">
        <f t="shared" si="4"/>
        <v>2.2988505747126435</v>
      </c>
      <c r="I29" s="1">
        <f t="shared" si="5"/>
        <v>1.1494252873563218</v>
      </c>
      <c r="J29" s="1">
        <f t="shared" si="6"/>
        <v>0.76628352490421459</v>
      </c>
      <c r="K29" s="1">
        <f t="shared" si="7"/>
        <v>0.38314176245210729</v>
      </c>
      <c r="L29" s="1">
        <f t="shared" si="8"/>
        <v>0.11494252873563218</v>
      </c>
      <c r="M29" s="4">
        <f t="shared" si="1"/>
        <v>11200</v>
      </c>
      <c r="N29" s="4"/>
      <c r="O29" s="8"/>
      <c r="P29">
        <v>28</v>
      </c>
      <c r="Q29" s="1">
        <v>1600000</v>
      </c>
      <c r="R29" s="4">
        <v>11200</v>
      </c>
      <c r="S29">
        <f>ROUND(1.02^A29,2)</f>
        <v>1.74</v>
      </c>
      <c r="T29" t="str">
        <f t="shared" si="0"/>
        <v>28,1600000,11200,1,74</v>
      </c>
    </row>
    <row r="30" spans="1:20" x14ac:dyDescent="0.25">
      <c r="A30">
        <f t="shared" si="9"/>
        <v>29</v>
      </c>
      <c r="B30" s="1">
        <v>1800000</v>
      </c>
      <c r="C30" s="1">
        <v>200000</v>
      </c>
      <c r="E30" s="1">
        <f>+S30*10000</f>
        <v>17800</v>
      </c>
      <c r="F30" s="1">
        <f t="shared" si="2"/>
        <v>11.235955056179776</v>
      </c>
      <c r="G30" s="1">
        <f t="shared" si="3"/>
        <v>5.617977528089888</v>
      </c>
      <c r="H30" s="1">
        <f t="shared" si="4"/>
        <v>2.2471910112359552</v>
      </c>
      <c r="I30" s="1">
        <f t="shared" si="5"/>
        <v>1.1235955056179776</v>
      </c>
      <c r="J30" s="1">
        <f t="shared" si="6"/>
        <v>0.74906367041198507</v>
      </c>
      <c r="K30" s="1">
        <f t="shared" si="7"/>
        <v>0.37453183520599254</v>
      </c>
      <c r="L30" s="1">
        <f t="shared" si="8"/>
        <v>0.11235955056179775</v>
      </c>
      <c r="M30" s="4">
        <f t="shared" si="1"/>
        <v>11400</v>
      </c>
      <c r="N30" s="4"/>
      <c r="O30" s="8"/>
      <c r="P30">
        <v>29</v>
      </c>
      <c r="Q30" s="1">
        <v>1800000</v>
      </c>
      <c r="R30" s="4">
        <v>11400</v>
      </c>
      <c r="S30">
        <f>ROUND(1.02^A30,2)</f>
        <v>1.78</v>
      </c>
      <c r="T30" t="str">
        <f t="shared" si="0"/>
        <v>29,1800000,11400,1,78</v>
      </c>
    </row>
    <row r="31" spans="1:20" x14ac:dyDescent="0.25">
      <c r="A31">
        <f t="shared" si="9"/>
        <v>30</v>
      </c>
      <c r="B31" s="1">
        <v>2000000</v>
      </c>
      <c r="C31" s="1">
        <v>200000</v>
      </c>
      <c r="E31" s="1">
        <f>+S31*10000</f>
        <v>18100</v>
      </c>
      <c r="F31" s="1">
        <f t="shared" si="2"/>
        <v>11.049723756906078</v>
      </c>
      <c r="G31" s="1">
        <f t="shared" si="3"/>
        <v>5.5248618784530388</v>
      </c>
      <c r="H31" s="1">
        <f t="shared" si="4"/>
        <v>2.2099447513812156</v>
      </c>
      <c r="I31" s="1">
        <f t="shared" si="5"/>
        <v>1.1049723756906078</v>
      </c>
      <c r="J31" s="1">
        <f t="shared" si="6"/>
        <v>0.73664825046040516</v>
      </c>
      <c r="K31" s="1">
        <f t="shared" si="7"/>
        <v>0.36832412523020258</v>
      </c>
      <c r="L31" s="1">
        <f t="shared" si="8"/>
        <v>0.11049723756906077</v>
      </c>
      <c r="M31" s="4">
        <f t="shared" si="1"/>
        <v>11700</v>
      </c>
      <c r="N31" s="4"/>
      <c r="O31" s="8"/>
      <c r="P31">
        <v>30</v>
      </c>
      <c r="Q31" s="1">
        <v>2000000</v>
      </c>
      <c r="R31" s="4">
        <v>11700</v>
      </c>
      <c r="S31">
        <f>ROUND(1.02^A31,2)</f>
        <v>1.81</v>
      </c>
      <c r="T31" t="str">
        <f t="shared" si="0"/>
        <v>30,2000000,11700,1,81</v>
      </c>
    </row>
    <row r="32" spans="1:20" x14ac:dyDescent="0.25">
      <c r="A32">
        <f t="shared" si="9"/>
        <v>31</v>
      </c>
      <c r="B32" s="1">
        <v>2200000</v>
      </c>
      <c r="C32" s="1">
        <v>200000</v>
      </c>
      <c r="E32" s="1">
        <f>+S32*10000</f>
        <v>18500</v>
      </c>
      <c r="F32" s="1">
        <f t="shared" si="2"/>
        <v>10.810810810810811</v>
      </c>
      <c r="G32" s="1">
        <f t="shared" si="3"/>
        <v>5.4054054054054053</v>
      </c>
      <c r="H32" s="1">
        <f t="shared" si="4"/>
        <v>2.1621621621621623</v>
      </c>
      <c r="I32" s="1">
        <f t="shared" si="5"/>
        <v>1.0810810810810811</v>
      </c>
      <c r="J32" s="1">
        <f t="shared" si="6"/>
        <v>0.72072072072072069</v>
      </c>
      <c r="K32" s="1">
        <f t="shared" si="7"/>
        <v>0.36036036036036034</v>
      </c>
      <c r="L32" s="1">
        <f t="shared" si="8"/>
        <v>0.10810810810810811</v>
      </c>
      <c r="M32" s="4">
        <f t="shared" si="1"/>
        <v>11800</v>
      </c>
      <c r="N32" s="4"/>
      <c r="O32" s="8"/>
      <c r="P32">
        <v>31</v>
      </c>
      <c r="Q32" s="1">
        <v>2200000</v>
      </c>
      <c r="R32" s="4">
        <v>11800</v>
      </c>
      <c r="S32">
        <f>ROUND(1.02^A32,2)</f>
        <v>1.85</v>
      </c>
      <c r="T32" t="str">
        <f t="shared" si="0"/>
        <v>31,2200000,11800,1,85</v>
      </c>
    </row>
    <row r="33" spans="1:20" x14ac:dyDescent="0.25">
      <c r="A33">
        <f t="shared" si="9"/>
        <v>32</v>
      </c>
      <c r="B33" s="1">
        <v>2400000</v>
      </c>
      <c r="C33" s="1">
        <v>200000</v>
      </c>
      <c r="E33" s="1">
        <f>+S33*10000</f>
        <v>18800</v>
      </c>
      <c r="F33" s="1">
        <f t="shared" si="2"/>
        <v>10.638297872340425</v>
      </c>
      <c r="G33" s="1">
        <f t="shared" si="3"/>
        <v>5.3191489361702127</v>
      </c>
      <c r="H33" s="1">
        <f t="shared" si="4"/>
        <v>2.1276595744680851</v>
      </c>
      <c r="I33" s="1">
        <f t="shared" si="5"/>
        <v>1.0638297872340425</v>
      </c>
      <c r="J33" s="1">
        <f t="shared" si="6"/>
        <v>0.70921985815602839</v>
      </c>
      <c r="K33" s="1">
        <f t="shared" si="7"/>
        <v>0.3546099290780142</v>
      </c>
      <c r="L33" s="1">
        <f t="shared" si="8"/>
        <v>0.10638297872340426</v>
      </c>
      <c r="M33" s="4">
        <f t="shared" si="1"/>
        <v>12100</v>
      </c>
      <c r="N33" s="4"/>
      <c r="O33" s="8"/>
      <c r="P33">
        <v>32</v>
      </c>
      <c r="Q33" s="1">
        <v>2400000</v>
      </c>
      <c r="R33" s="4">
        <v>12100</v>
      </c>
      <c r="S33">
        <f>ROUND(1.02^A33,2)</f>
        <v>1.88</v>
      </c>
      <c r="T33" t="str">
        <f t="shared" si="0"/>
        <v>32,2400000,12100,1,88</v>
      </c>
    </row>
    <row r="34" spans="1:20" x14ac:dyDescent="0.25">
      <c r="A34">
        <f t="shared" si="9"/>
        <v>33</v>
      </c>
      <c r="B34" s="1">
        <v>2600000</v>
      </c>
      <c r="C34" s="1">
        <v>200000</v>
      </c>
      <c r="E34" s="1">
        <f>+S34*10000</f>
        <v>19200</v>
      </c>
      <c r="F34" s="1">
        <f t="shared" si="2"/>
        <v>10.416666666666666</v>
      </c>
      <c r="G34" s="1">
        <f t="shared" si="3"/>
        <v>5.208333333333333</v>
      </c>
      <c r="H34" s="1">
        <f t="shared" si="4"/>
        <v>2.0833333333333335</v>
      </c>
      <c r="I34" s="1">
        <f t="shared" si="5"/>
        <v>1.0416666666666667</v>
      </c>
      <c r="J34" s="1">
        <f t="shared" si="6"/>
        <v>0.69444444444444442</v>
      </c>
      <c r="K34" s="1">
        <f t="shared" si="7"/>
        <v>0.34722222222222221</v>
      </c>
      <c r="L34" s="1">
        <f t="shared" si="8"/>
        <v>0.10416666666666667</v>
      </c>
      <c r="M34" s="4">
        <f t="shared" si="1"/>
        <v>12300</v>
      </c>
      <c r="N34" s="4"/>
      <c r="O34" s="8"/>
      <c r="P34">
        <v>33</v>
      </c>
      <c r="Q34" s="1">
        <v>2600000</v>
      </c>
      <c r="R34" s="4">
        <v>12300</v>
      </c>
      <c r="S34">
        <f>ROUND(1.02^A34,2)</f>
        <v>1.92</v>
      </c>
      <c r="T34" t="str">
        <f t="shared" si="0"/>
        <v>33,2600000,12300,1,92</v>
      </c>
    </row>
    <row r="35" spans="1:20" x14ac:dyDescent="0.25">
      <c r="A35">
        <f t="shared" si="9"/>
        <v>34</v>
      </c>
      <c r="B35" s="1">
        <v>2800000</v>
      </c>
      <c r="C35" s="1">
        <v>200000</v>
      </c>
      <c r="E35" s="1">
        <f>+S35*10000</f>
        <v>19600</v>
      </c>
      <c r="F35" s="1">
        <f t="shared" si="2"/>
        <v>15.306122448979592</v>
      </c>
      <c r="G35" s="1">
        <f t="shared" si="3"/>
        <v>7.6530612244897958</v>
      </c>
      <c r="H35" s="1">
        <f t="shared" si="4"/>
        <v>3.0612244897959182</v>
      </c>
      <c r="I35" s="1">
        <f t="shared" si="5"/>
        <v>1.5306122448979591</v>
      </c>
      <c r="J35" s="1">
        <f t="shared" si="6"/>
        <v>1.0204081632653061</v>
      </c>
      <c r="K35" s="1">
        <f t="shared" si="7"/>
        <v>0.51020408163265307</v>
      </c>
      <c r="L35" s="1">
        <f t="shared" si="8"/>
        <v>0.15306122448979592</v>
      </c>
      <c r="M35" s="4">
        <f t="shared" si="1"/>
        <v>12600</v>
      </c>
      <c r="N35" s="4"/>
      <c r="O35" s="8"/>
      <c r="P35">
        <v>34</v>
      </c>
      <c r="Q35" s="1">
        <v>2800000</v>
      </c>
      <c r="R35" s="4">
        <v>12600</v>
      </c>
      <c r="S35">
        <f>ROUND(1.02^A35,2)</f>
        <v>1.96</v>
      </c>
      <c r="T35" t="str">
        <f t="shared" si="0"/>
        <v>34,2800000,12600,1,96</v>
      </c>
    </row>
    <row r="36" spans="1:20" x14ac:dyDescent="0.25">
      <c r="A36">
        <f t="shared" si="9"/>
        <v>35</v>
      </c>
      <c r="B36" s="1">
        <v>3100000</v>
      </c>
      <c r="C36" s="1">
        <v>300000</v>
      </c>
      <c r="E36" s="1">
        <f>+S36*10000</f>
        <v>20000</v>
      </c>
      <c r="F36" s="1">
        <f t="shared" si="2"/>
        <v>15</v>
      </c>
      <c r="G36" s="1">
        <f t="shared" si="3"/>
        <v>7.5</v>
      </c>
      <c r="H36" s="1">
        <f t="shared" si="4"/>
        <v>3</v>
      </c>
      <c r="I36" s="1">
        <f t="shared" si="5"/>
        <v>1.5</v>
      </c>
      <c r="J36" s="1">
        <f t="shared" si="6"/>
        <v>1</v>
      </c>
      <c r="K36" s="1">
        <f t="shared" si="7"/>
        <v>0.5</v>
      </c>
      <c r="L36" s="1">
        <f t="shared" si="8"/>
        <v>0.15</v>
      </c>
      <c r="M36" s="4">
        <f t="shared" si="1"/>
        <v>12900</v>
      </c>
      <c r="N36" s="4"/>
      <c r="O36" s="8"/>
      <c r="P36">
        <v>35</v>
      </c>
      <c r="Q36" s="1">
        <v>3100000</v>
      </c>
      <c r="R36" s="4">
        <v>12900</v>
      </c>
      <c r="S36">
        <f>ROUND(1.02^A36,2)</f>
        <v>2</v>
      </c>
      <c r="T36" t="str">
        <f t="shared" si="0"/>
        <v>35,3100000,12900,2</v>
      </c>
    </row>
    <row r="37" spans="1:20" x14ac:dyDescent="0.25">
      <c r="A37">
        <f t="shared" si="9"/>
        <v>36</v>
      </c>
      <c r="B37" s="1">
        <v>3400000</v>
      </c>
      <c r="C37" s="1">
        <v>300000</v>
      </c>
      <c r="E37" s="1">
        <f>+S37*10000</f>
        <v>20400</v>
      </c>
      <c r="F37" s="1">
        <f t="shared" si="2"/>
        <v>14.705882352941176</v>
      </c>
      <c r="G37" s="1">
        <f t="shared" si="3"/>
        <v>7.3529411764705879</v>
      </c>
      <c r="H37" s="1">
        <f t="shared" si="4"/>
        <v>2.9411764705882355</v>
      </c>
      <c r="I37" s="1">
        <f t="shared" si="5"/>
        <v>1.4705882352941178</v>
      </c>
      <c r="J37" s="1">
        <f t="shared" si="6"/>
        <v>0.98039215686274506</v>
      </c>
      <c r="K37" s="1">
        <f t="shared" si="7"/>
        <v>0.49019607843137253</v>
      </c>
      <c r="L37" s="1">
        <f t="shared" si="8"/>
        <v>0.14705882352941177</v>
      </c>
      <c r="M37" s="4">
        <f t="shared" si="1"/>
        <v>13100</v>
      </c>
      <c r="N37" s="4"/>
      <c r="O37" s="8"/>
      <c r="P37">
        <v>36</v>
      </c>
      <c r="Q37" s="1">
        <v>3400000</v>
      </c>
      <c r="R37" s="4">
        <v>13100</v>
      </c>
      <c r="S37">
        <f>ROUND(1.02^A37,2)</f>
        <v>2.04</v>
      </c>
      <c r="T37" t="str">
        <f t="shared" si="0"/>
        <v>36,3400000,13100,2,04</v>
      </c>
    </row>
    <row r="38" spans="1:20" x14ac:dyDescent="0.25">
      <c r="A38">
        <f t="shared" si="9"/>
        <v>37</v>
      </c>
      <c r="B38" s="1">
        <v>3700000</v>
      </c>
      <c r="C38" s="1">
        <v>300000</v>
      </c>
      <c r="E38" s="1">
        <f>+S38*10000</f>
        <v>20800</v>
      </c>
      <c r="F38" s="1">
        <f t="shared" si="2"/>
        <v>14.423076923076923</v>
      </c>
      <c r="G38" s="1">
        <f t="shared" si="3"/>
        <v>7.2115384615384617</v>
      </c>
      <c r="H38" s="1">
        <f t="shared" si="4"/>
        <v>2.8846153846153846</v>
      </c>
      <c r="I38" s="1">
        <f t="shared" si="5"/>
        <v>1.4423076923076923</v>
      </c>
      <c r="J38" s="1">
        <f t="shared" si="6"/>
        <v>0.96153846153846156</v>
      </c>
      <c r="K38" s="1">
        <f t="shared" si="7"/>
        <v>0.48076923076923078</v>
      </c>
      <c r="L38" s="1">
        <f t="shared" si="8"/>
        <v>0.14423076923076922</v>
      </c>
      <c r="M38" s="4">
        <f t="shared" si="1"/>
        <v>13400</v>
      </c>
      <c r="N38" s="4"/>
      <c r="O38" s="8"/>
      <c r="P38">
        <v>37</v>
      </c>
      <c r="Q38" s="1">
        <v>3700000</v>
      </c>
      <c r="R38" s="4">
        <v>13400</v>
      </c>
      <c r="S38">
        <f>ROUND(1.02^A38,2)</f>
        <v>2.08</v>
      </c>
      <c r="T38" t="str">
        <f t="shared" si="0"/>
        <v>37,3700000,13400,2,08</v>
      </c>
    </row>
    <row r="39" spans="1:20" x14ac:dyDescent="0.25">
      <c r="A39">
        <f t="shared" si="9"/>
        <v>38</v>
      </c>
      <c r="B39" s="1">
        <v>4000000</v>
      </c>
      <c r="C39" s="1">
        <v>300000</v>
      </c>
      <c r="E39" s="1">
        <f>+S39*10000</f>
        <v>21200</v>
      </c>
      <c r="F39" s="1">
        <f t="shared" si="2"/>
        <v>14.150943396226415</v>
      </c>
      <c r="G39" s="1">
        <f t="shared" si="3"/>
        <v>7.0754716981132075</v>
      </c>
      <c r="H39" s="1">
        <f t="shared" si="4"/>
        <v>2.8301886792452828</v>
      </c>
      <c r="I39" s="1">
        <f t="shared" si="5"/>
        <v>1.4150943396226414</v>
      </c>
      <c r="J39" s="1">
        <f t="shared" si="6"/>
        <v>0.94339622641509435</v>
      </c>
      <c r="K39" s="1">
        <f t="shared" si="7"/>
        <v>0.47169811320754718</v>
      </c>
      <c r="L39" s="1">
        <f t="shared" si="8"/>
        <v>0.14150943396226415</v>
      </c>
      <c r="M39" s="4">
        <f t="shared" si="1"/>
        <v>13600</v>
      </c>
      <c r="N39" s="4"/>
      <c r="O39" s="8"/>
      <c r="P39">
        <v>38</v>
      </c>
      <c r="Q39" s="1">
        <v>4000000</v>
      </c>
      <c r="R39" s="4">
        <v>13600</v>
      </c>
      <c r="S39">
        <f>ROUND(1.02^A39,2)</f>
        <v>2.12</v>
      </c>
      <c r="T39" t="str">
        <f t="shared" si="0"/>
        <v>38,4000000,13600,2,12</v>
      </c>
    </row>
    <row r="40" spans="1:20" x14ac:dyDescent="0.25">
      <c r="A40">
        <f t="shared" si="9"/>
        <v>39</v>
      </c>
      <c r="B40" s="1">
        <v>4300000</v>
      </c>
      <c r="C40" s="1">
        <v>300000</v>
      </c>
      <c r="E40" s="1">
        <f>+S40*10000</f>
        <v>21600</v>
      </c>
      <c r="F40" s="1">
        <f t="shared" si="2"/>
        <v>18.518518518518519</v>
      </c>
      <c r="G40" s="1">
        <f t="shared" si="3"/>
        <v>9.2592592592592595</v>
      </c>
      <c r="H40" s="1">
        <f t="shared" si="4"/>
        <v>3.7037037037037037</v>
      </c>
      <c r="I40" s="1">
        <f t="shared" si="5"/>
        <v>1.8518518518518519</v>
      </c>
      <c r="J40" s="1">
        <f t="shared" si="6"/>
        <v>1.2345679012345678</v>
      </c>
      <c r="K40" s="1">
        <f t="shared" si="7"/>
        <v>0.61728395061728392</v>
      </c>
      <c r="L40" s="1">
        <f t="shared" si="8"/>
        <v>0.18518518518518517</v>
      </c>
      <c r="M40" s="4">
        <f t="shared" si="1"/>
        <v>13900</v>
      </c>
      <c r="N40" s="4"/>
      <c r="O40" s="8"/>
      <c r="P40">
        <v>39</v>
      </c>
      <c r="Q40" s="1">
        <v>4300000</v>
      </c>
      <c r="R40" s="4">
        <v>13900</v>
      </c>
      <c r="S40">
        <f>ROUND(1.02^A40,2)</f>
        <v>2.16</v>
      </c>
      <c r="T40" t="str">
        <f t="shared" si="0"/>
        <v>39,4300000,13900,2,16</v>
      </c>
    </row>
    <row r="41" spans="1:20" x14ac:dyDescent="0.25">
      <c r="A41">
        <f t="shared" si="9"/>
        <v>40</v>
      </c>
      <c r="B41" s="1">
        <v>4700000</v>
      </c>
      <c r="C41" s="1">
        <v>400000</v>
      </c>
      <c r="E41" s="1">
        <f>+S41*10000</f>
        <v>22100</v>
      </c>
      <c r="F41" s="1">
        <f t="shared" si="2"/>
        <v>18.099547511312217</v>
      </c>
      <c r="G41" s="1">
        <f t="shared" si="3"/>
        <v>9.0497737556561084</v>
      </c>
      <c r="H41" s="1">
        <f t="shared" si="4"/>
        <v>3.6199095022624435</v>
      </c>
      <c r="I41" s="1">
        <f t="shared" si="5"/>
        <v>1.8099547511312217</v>
      </c>
      <c r="J41" s="1">
        <f t="shared" si="6"/>
        <v>1.2066365007541477</v>
      </c>
      <c r="K41" s="1">
        <f t="shared" si="7"/>
        <v>0.60331825037707387</v>
      </c>
      <c r="L41" s="1">
        <f t="shared" si="8"/>
        <v>0.18099547511312217</v>
      </c>
      <c r="M41" s="4">
        <f t="shared" si="1"/>
        <v>14200</v>
      </c>
      <c r="N41" s="4"/>
      <c r="O41" s="8"/>
      <c r="P41">
        <v>40</v>
      </c>
      <c r="Q41" s="1">
        <v>4700000</v>
      </c>
      <c r="R41" s="4">
        <v>14200</v>
      </c>
      <c r="S41">
        <f>ROUND(1.02^A41,2)</f>
        <v>2.21</v>
      </c>
      <c r="T41" t="str">
        <f t="shared" si="0"/>
        <v>40,4700000,14200,2,21</v>
      </c>
    </row>
    <row r="42" spans="1:20" x14ac:dyDescent="0.25">
      <c r="A42">
        <f t="shared" si="9"/>
        <v>41</v>
      </c>
      <c r="B42" s="1">
        <v>5100000</v>
      </c>
      <c r="C42" s="1">
        <v>400000</v>
      </c>
      <c r="E42" s="1">
        <f>+S42*10000</f>
        <v>22500</v>
      </c>
      <c r="F42" s="1">
        <f t="shared" si="2"/>
        <v>17.777777777777779</v>
      </c>
      <c r="G42" s="1">
        <f t="shared" si="3"/>
        <v>8.8888888888888893</v>
      </c>
      <c r="H42" s="1">
        <f t="shared" si="4"/>
        <v>3.5555555555555554</v>
      </c>
      <c r="I42" s="1">
        <f t="shared" si="5"/>
        <v>1.7777777777777777</v>
      </c>
      <c r="J42" s="1">
        <f t="shared" si="6"/>
        <v>1.1851851851851851</v>
      </c>
      <c r="K42" s="1">
        <f t="shared" si="7"/>
        <v>0.59259259259259256</v>
      </c>
      <c r="L42" s="1">
        <f t="shared" si="8"/>
        <v>0.17777777777777778</v>
      </c>
      <c r="M42" s="4">
        <f t="shared" si="1"/>
        <v>14500</v>
      </c>
      <c r="N42" s="4"/>
      <c r="O42" s="8"/>
      <c r="P42">
        <v>41</v>
      </c>
      <c r="Q42" s="1">
        <v>5100000</v>
      </c>
      <c r="R42" s="4">
        <v>14500</v>
      </c>
      <c r="S42">
        <f>ROUND(1.02^A42,2)</f>
        <v>2.25</v>
      </c>
      <c r="T42" t="str">
        <f t="shared" si="0"/>
        <v>41,5100000,14500,2,25</v>
      </c>
    </row>
    <row r="43" spans="1:20" x14ac:dyDescent="0.25">
      <c r="A43">
        <f t="shared" si="9"/>
        <v>42</v>
      </c>
      <c r="B43" s="1">
        <v>5500000</v>
      </c>
      <c r="C43" s="1">
        <v>400000</v>
      </c>
      <c r="E43" s="1">
        <f>+S43*10000</f>
        <v>23000</v>
      </c>
      <c r="F43" s="1">
        <f t="shared" si="2"/>
        <v>21.739130434782609</v>
      </c>
      <c r="G43" s="1">
        <f t="shared" si="3"/>
        <v>10.869565217391305</v>
      </c>
      <c r="H43" s="1">
        <f t="shared" si="4"/>
        <v>4.3478260869565215</v>
      </c>
      <c r="I43" s="1">
        <f t="shared" si="5"/>
        <v>2.1739130434782608</v>
      </c>
      <c r="J43" s="1">
        <f t="shared" si="6"/>
        <v>1.4492753623188406</v>
      </c>
      <c r="K43" s="1">
        <f t="shared" si="7"/>
        <v>0.72463768115942029</v>
      </c>
      <c r="L43" s="1">
        <f t="shared" si="8"/>
        <v>0.21739130434782608</v>
      </c>
      <c r="M43" s="4">
        <f t="shared" si="1"/>
        <v>14700</v>
      </c>
      <c r="N43" s="4"/>
      <c r="O43" s="8"/>
      <c r="P43">
        <v>42</v>
      </c>
      <c r="Q43" s="1">
        <v>5500000</v>
      </c>
      <c r="R43" s="4">
        <v>14700</v>
      </c>
      <c r="S43">
        <f>ROUND(1.02^A43,2)</f>
        <v>2.2999999999999998</v>
      </c>
      <c r="T43" t="str">
        <f t="shared" si="0"/>
        <v>42,5500000,14700,2,3</v>
      </c>
    </row>
    <row r="44" spans="1:20" x14ac:dyDescent="0.25">
      <c r="A44">
        <f t="shared" si="9"/>
        <v>43</v>
      </c>
      <c r="B44" s="1">
        <v>6000000</v>
      </c>
      <c r="C44" s="1">
        <v>500000</v>
      </c>
      <c r="E44" s="1">
        <f>+S44*10000</f>
        <v>23400</v>
      </c>
      <c r="F44" s="1">
        <f t="shared" si="2"/>
        <v>21.367521367521366</v>
      </c>
      <c r="G44" s="1">
        <f t="shared" si="3"/>
        <v>10.683760683760683</v>
      </c>
      <c r="H44" s="1">
        <f t="shared" si="4"/>
        <v>4.2735042735042734</v>
      </c>
      <c r="I44" s="1">
        <f t="shared" si="5"/>
        <v>2.1367521367521367</v>
      </c>
      <c r="J44" s="1">
        <f t="shared" si="6"/>
        <v>1.4245014245014245</v>
      </c>
      <c r="K44" s="1">
        <f t="shared" si="7"/>
        <v>0.71225071225071224</v>
      </c>
      <c r="L44" s="1">
        <f t="shared" si="8"/>
        <v>0.21367521367521367</v>
      </c>
      <c r="M44" s="4">
        <f t="shared" si="1"/>
        <v>15100</v>
      </c>
      <c r="N44" s="4"/>
      <c r="O44" s="8"/>
      <c r="P44">
        <v>43</v>
      </c>
      <c r="Q44" s="1">
        <v>6000000</v>
      </c>
      <c r="R44" s="4">
        <v>15100</v>
      </c>
      <c r="S44">
        <f>ROUND(1.02^A44,2)</f>
        <v>2.34</v>
      </c>
      <c r="T44" t="str">
        <f t="shared" si="0"/>
        <v>43,6000000,15100,2,34</v>
      </c>
    </row>
    <row r="45" spans="1:20" x14ac:dyDescent="0.25">
      <c r="A45">
        <f t="shared" si="9"/>
        <v>44</v>
      </c>
      <c r="B45" s="1">
        <v>6500000</v>
      </c>
      <c r="C45" s="1">
        <v>500000</v>
      </c>
      <c r="E45" s="1">
        <f>+S45*10000</f>
        <v>23900</v>
      </c>
      <c r="F45" s="1">
        <f t="shared" si="2"/>
        <v>20.92050209205021</v>
      </c>
      <c r="G45" s="1">
        <f t="shared" si="3"/>
        <v>10.460251046025105</v>
      </c>
      <c r="H45" s="1">
        <f t="shared" si="4"/>
        <v>4.1841004184100417</v>
      </c>
      <c r="I45" s="1">
        <f t="shared" si="5"/>
        <v>2.0920502092050208</v>
      </c>
      <c r="J45" s="1">
        <f t="shared" si="6"/>
        <v>1.394700139470014</v>
      </c>
      <c r="K45" s="1">
        <f t="shared" si="7"/>
        <v>0.69735006973500702</v>
      </c>
      <c r="L45" s="1">
        <f t="shared" si="8"/>
        <v>0.20920502092050208</v>
      </c>
      <c r="M45" s="4">
        <f t="shared" si="1"/>
        <v>15400</v>
      </c>
      <c r="N45" s="4"/>
      <c r="O45" s="8"/>
      <c r="P45">
        <v>44</v>
      </c>
      <c r="Q45" s="1">
        <v>6500000</v>
      </c>
      <c r="R45" s="4">
        <v>15400</v>
      </c>
      <c r="S45">
        <f>ROUND(1.02^A45,2)</f>
        <v>2.39</v>
      </c>
      <c r="T45" t="str">
        <f t="shared" si="0"/>
        <v>44,6500000,15400,2,39</v>
      </c>
    </row>
    <row r="46" spans="1:20" x14ac:dyDescent="0.25">
      <c r="A46">
        <f t="shared" si="9"/>
        <v>45</v>
      </c>
      <c r="B46" s="1">
        <v>7000000</v>
      </c>
      <c r="C46" s="1">
        <v>500000</v>
      </c>
      <c r="E46" s="1">
        <f>+S46*10000</f>
        <v>24400</v>
      </c>
      <c r="F46" s="1">
        <f t="shared" si="2"/>
        <v>24.590163934426229</v>
      </c>
      <c r="G46" s="1">
        <f t="shared" si="3"/>
        <v>12.295081967213115</v>
      </c>
      <c r="H46" s="1">
        <f t="shared" si="4"/>
        <v>4.918032786885246</v>
      </c>
      <c r="I46" s="1">
        <f t="shared" si="5"/>
        <v>2.459016393442623</v>
      </c>
      <c r="J46" s="1">
        <f t="shared" si="6"/>
        <v>1.639344262295082</v>
      </c>
      <c r="K46" s="1">
        <f t="shared" si="7"/>
        <v>0.81967213114754101</v>
      </c>
      <c r="L46" s="1">
        <f t="shared" si="8"/>
        <v>0.24590163934426229</v>
      </c>
      <c r="M46" s="4">
        <f t="shared" si="1"/>
        <v>15700</v>
      </c>
      <c r="N46" s="4"/>
      <c r="O46" s="8"/>
      <c r="P46">
        <v>45</v>
      </c>
      <c r="Q46" s="1">
        <v>7000000</v>
      </c>
      <c r="R46" s="4">
        <v>15700</v>
      </c>
      <c r="S46">
        <f>ROUND(1.02^A46,2)</f>
        <v>2.44</v>
      </c>
      <c r="T46" t="str">
        <f t="shared" si="0"/>
        <v>45,7000000,15700,2,44</v>
      </c>
    </row>
    <row r="47" spans="1:20" x14ac:dyDescent="0.25">
      <c r="A47">
        <f t="shared" si="9"/>
        <v>46</v>
      </c>
      <c r="B47" s="1">
        <v>7600000</v>
      </c>
      <c r="C47" s="1">
        <v>600000</v>
      </c>
      <c r="E47" s="1">
        <f>+S47*10000</f>
        <v>24900.000000000004</v>
      </c>
      <c r="F47" s="1">
        <f t="shared" si="2"/>
        <v>24.096385542168672</v>
      </c>
      <c r="G47" s="1">
        <f t="shared" si="3"/>
        <v>12.048192771084336</v>
      </c>
      <c r="H47" s="1">
        <f t="shared" si="4"/>
        <v>4.8192771084337345</v>
      </c>
      <c r="I47" s="1">
        <f t="shared" si="5"/>
        <v>2.4096385542168672</v>
      </c>
      <c r="J47" s="1">
        <f t="shared" si="6"/>
        <v>1.6064257028112447</v>
      </c>
      <c r="K47" s="1">
        <f t="shared" si="7"/>
        <v>0.80321285140562237</v>
      </c>
      <c r="L47" s="1">
        <f t="shared" si="8"/>
        <v>0.24096385542168669</v>
      </c>
      <c r="M47" s="4">
        <f t="shared" si="1"/>
        <v>16000</v>
      </c>
      <c r="N47" s="4"/>
      <c r="O47" s="8"/>
      <c r="P47">
        <v>46</v>
      </c>
      <c r="Q47" s="1">
        <v>7600000</v>
      </c>
      <c r="R47" s="4">
        <v>16000</v>
      </c>
      <c r="S47">
        <f>ROUND(1.02^A47,2)</f>
        <v>2.4900000000000002</v>
      </c>
      <c r="T47" t="str">
        <f t="shared" si="0"/>
        <v>46,7600000,16000,2,49</v>
      </c>
    </row>
    <row r="48" spans="1:20" x14ac:dyDescent="0.25">
      <c r="A48">
        <f t="shared" si="9"/>
        <v>47</v>
      </c>
      <c r="B48" s="1">
        <v>8200000</v>
      </c>
      <c r="C48" s="1">
        <v>600000</v>
      </c>
      <c r="E48" s="1">
        <f>+S48*10000</f>
        <v>25400</v>
      </c>
      <c r="F48" s="1">
        <f t="shared" si="2"/>
        <v>27.559055118110237</v>
      </c>
      <c r="G48" s="1">
        <f t="shared" si="3"/>
        <v>13.779527559055119</v>
      </c>
      <c r="H48" s="1">
        <f t="shared" si="4"/>
        <v>5.5118110236220472</v>
      </c>
      <c r="I48" s="1">
        <f t="shared" si="5"/>
        <v>2.7559055118110236</v>
      </c>
      <c r="J48" s="1">
        <f t="shared" si="6"/>
        <v>1.837270341207349</v>
      </c>
      <c r="K48" s="1">
        <f t="shared" si="7"/>
        <v>0.9186351706036745</v>
      </c>
      <c r="L48" s="1">
        <f t="shared" si="8"/>
        <v>0.27559055118110237</v>
      </c>
      <c r="M48" s="4">
        <f t="shared" si="1"/>
        <v>16300</v>
      </c>
      <c r="N48" s="4"/>
      <c r="O48" s="8"/>
      <c r="P48">
        <v>47</v>
      </c>
      <c r="Q48" s="1">
        <v>8200000</v>
      </c>
      <c r="R48" s="4">
        <v>16300</v>
      </c>
      <c r="S48">
        <f>ROUND(1.02^A48,2)</f>
        <v>2.54</v>
      </c>
      <c r="T48" t="str">
        <f t="shared" si="0"/>
        <v>47,8200000,16300,2,54</v>
      </c>
    </row>
    <row r="49" spans="1:20" x14ac:dyDescent="0.25">
      <c r="A49">
        <f t="shared" si="9"/>
        <v>48</v>
      </c>
      <c r="B49" s="1">
        <v>8900000</v>
      </c>
      <c r="C49" s="1">
        <v>700000</v>
      </c>
      <c r="E49" s="1">
        <f>+S49*10000</f>
        <v>25900</v>
      </c>
      <c r="F49" s="1">
        <f t="shared" si="2"/>
        <v>27.027027027027028</v>
      </c>
      <c r="G49" s="1">
        <f t="shared" si="3"/>
        <v>13.513513513513514</v>
      </c>
      <c r="H49" s="1">
        <f t="shared" si="4"/>
        <v>5.4054054054054053</v>
      </c>
      <c r="I49" s="1">
        <f t="shared" si="5"/>
        <v>2.7027027027027026</v>
      </c>
      <c r="J49" s="1">
        <f t="shared" si="6"/>
        <v>1.8018018018018018</v>
      </c>
      <c r="K49" s="1">
        <f t="shared" si="7"/>
        <v>0.90090090090090091</v>
      </c>
      <c r="L49" s="1">
        <f t="shared" si="8"/>
        <v>0.27027027027027029</v>
      </c>
      <c r="M49" s="4">
        <f t="shared" si="1"/>
        <v>16600</v>
      </c>
      <c r="N49" s="4"/>
      <c r="O49" s="8"/>
      <c r="P49">
        <v>48</v>
      </c>
      <c r="Q49" s="1">
        <v>8900000</v>
      </c>
      <c r="R49" s="4">
        <v>16600</v>
      </c>
      <c r="S49">
        <f>ROUND(1.02^A49,2)</f>
        <v>2.59</v>
      </c>
      <c r="T49" t="str">
        <f t="shared" si="0"/>
        <v>48,8900000,16600,2,59</v>
      </c>
    </row>
    <row r="50" spans="1:20" x14ac:dyDescent="0.25">
      <c r="A50">
        <f t="shared" si="9"/>
        <v>49</v>
      </c>
      <c r="B50" s="1">
        <v>9600000</v>
      </c>
      <c r="C50" s="1">
        <v>700000</v>
      </c>
      <c r="E50" s="1">
        <f>+S50*10000</f>
        <v>26400</v>
      </c>
      <c r="F50" s="1">
        <f t="shared" si="2"/>
        <v>30.303030303030305</v>
      </c>
      <c r="G50" s="1">
        <f t="shared" si="3"/>
        <v>15.151515151515152</v>
      </c>
      <c r="H50" s="1">
        <f t="shared" si="4"/>
        <v>6.0606060606060606</v>
      </c>
      <c r="I50" s="1">
        <f t="shared" si="5"/>
        <v>3.0303030303030303</v>
      </c>
      <c r="J50" s="1">
        <f t="shared" si="6"/>
        <v>2.0202020202020203</v>
      </c>
      <c r="K50" s="1">
        <f t="shared" si="7"/>
        <v>1.0101010101010102</v>
      </c>
      <c r="L50" s="1">
        <f t="shared" si="8"/>
        <v>0.30303030303030304</v>
      </c>
      <c r="M50" s="4">
        <f t="shared" si="1"/>
        <v>16900</v>
      </c>
      <c r="N50" s="4"/>
      <c r="O50" s="8"/>
      <c r="P50">
        <v>49</v>
      </c>
      <c r="Q50" s="1">
        <v>9600000</v>
      </c>
      <c r="R50" s="4">
        <v>16900</v>
      </c>
      <c r="S50">
        <f>ROUND(1.02^A50,2)</f>
        <v>2.64</v>
      </c>
      <c r="T50" t="str">
        <f t="shared" si="0"/>
        <v>49,9600000,16900,2,64</v>
      </c>
    </row>
    <row r="51" spans="1:20" x14ac:dyDescent="0.25">
      <c r="A51">
        <f t="shared" si="9"/>
        <v>50</v>
      </c>
      <c r="B51" s="1">
        <v>10400000</v>
      </c>
      <c r="C51" s="1">
        <v>800000</v>
      </c>
      <c r="E51" s="1">
        <f>+S51*10000</f>
        <v>26900</v>
      </c>
      <c r="F51" s="1">
        <f t="shared" si="2"/>
        <v>29.739776951672862</v>
      </c>
      <c r="G51" s="1">
        <f t="shared" si="3"/>
        <v>14.869888475836431</v>
      </c>
      <c r="H51" s="1">
        <f t="shared" si="4"/>
        <v>5.9479553903345721</v>
      </c>
      <c r="I51" s="1">
        <f t="shared" si="5"/>
        <v>2.9739776951672861</v>
      </c>
      <c r="J51" s="1">
        <f t="shared" si="6"/>
        <v>1.9826517967781909</v>
      </c>
      <c r="K51" s="1">
        <f t="shared" si="7"/>
        <v>0.99132589838909546</v>
      </c>
      <c r="L51" s="1">
        <f t="shared" si="8"/>
        <v>0.29739776951672864</v>
      </c>
      <c r="M51" s="4">
        <f t="shared" si="1"/>
        <v>17300</v>
      </c>
      <c r="N51" s="4"/>
      <c r="O51" s="8"/>
      <c r="P51">
        <v>50</v>
      </c>
      <c r="Q51" s="1">
        <v>10400000</v>
      </c>
      <c r="R51" s="4">
        <v>17300</v>
      </c>
      <c r="S51">
        <f>ROUND(1.02^A51,2)</f>
        <v>2.69</v>
      </c>
      <c r="T51" t="str">
        <f t="shared" si="0"/>
        <v>50,10400000,17300,2,69</v>
      </c>
    </row>
    <row r="52" spans="1:20" x14ac:dyDescent="0.25">
      <c r="A52">
        <f t="shared" si="9"/>
        <v>51</v>
      </c>
      <c r="B52" s="1">
        <v>11200000</v>
      </c>
      <c r="C52" s="1">
        <v>800000</v>
      </c>
      <c r="E52" s="1">
        <f>+S52*10000</f>
        <v>27500</v>
      </c>
      <c r="F52" s="1">
        <f t="shared" si="2"/>
        <v>32.727272727272727</v>
      </c>
      <c r="G52" s="1">
        <f t="shared" si="3"/>
        <v>16.363636363636363</v>
      </c>
      <c r="H52" s="1">
        <f t="shared" si="4"/>
        <v>6.5454545454545459</v>
      </c>
      <c r="I52" s="1">
        <f t="shared" si="5"/>
        <v>3.2727272727272729</v>
      </c>
      <c r="J52" s="1">
        <f t="shared" si="6"/>
        <v>2.1818181818181817</v>
      </c>
      <c r="K52" s="1">
        <f t="shared" si="7"/>
        <v>1.0909090909090908</v>
      </c>
      <c r="L52" s="1">
        <f t="shared" si="8"/>
        <v>0.32727272727272727</v>
      </c>
      <c r="M52" s="4">
        <f t="shared" si="1"/>
        <v>17600</v>
      </c>
      <c r="N52" s="4"/>
      <c r="O52" s="8"/>
      <c r="P52">
        <v>51</v>
      </c>
      <c r="Q52" s="1">
        <v>11200000</v>
      </c>
      <c r="R52" s="4">
        <v>17600</v>
      </c>
      <c r="S52">
        <f>ROUND(1.02^A52,2)</f>
        <v>2.75</v>
      </c>
      <c r="T52" t="str">
        <f t="shared" si="0"/>
        <v>51,11200000,17600,2,75</v>
      </c>
    </row>
    <row r="53" spans="1:20" x14ac:dyDescent="0.25">
      <c r="A53">
        <f t="shared" si="9"/>
        <v>52</v>
      </c>
      <c r="B53" s="1">
        <v>12100000</v>
      </c>
      <c r="C53" s="1">
        <v>900000</v>
      </c>
      <c r="E53" s="1">
        <f>+S53*10000</f>
        <v>28000</v>
      </c>
      <c r="F53" s="1">
        <f t="shared" si="2"/>
        <v>32.142857142857146</v>
      </c>
      <c r="G53" s="1">
        <f t="shared" si="3"/>
        <v>16.071428571428573</v>
      </c>
      <c r="H53" s="1">
        <f t="shared" si="4"/>
        <v>6.4285714285714288</v>
      </c>
      <c r="I53" s="1">
        <f t="shared" si="5"/>
        <v>3.2142857142857144</v>
      </c>
      <c r="J53" s="1">
        <f t="shared" si="6"/>
        <v>2.1428571428571428</v>
      </c>
      <c r="K53" s="1">
        <f t="shared" si="7"/>
        <v>1.0714285714285714</v>
      </c>
      <c r="L53" s="1">
        <f t="shared" si="8"/>
        <v>0.32142857142857145</v>
      </c>
      <c r="M53" s="4">
        <f t="shared" si="1"/>
        <v>18000</v>
      </c>
      <c r="N53" s="4"/>
      <c r="O53" s="8"/>
      <c r="P53">
        <v>52</v>
      </c>
      <c r="Q53" s="1">
        <v>12100000</v>
      </c>
      <c r="R53" s="4">
        <v>18000</v>
      </c>
      <c r="S53">
        <f>ROUND(1.02^A53,2)</f>
        <v>2.8</v>
      </c>
      <c r="T53" t="str">
        <f t="shared" si="0"/>
        <v>52,12100000,18000,2,8</v>
      </c>
    </row>
    <row r="54" spans="1:20" x14ac:dyDescent="0.25">
      <c r="A54">
        <f t="shared" si="9"/>
        <v>53</v>
      </c>
      <c r="B54" s="1">
        <v>13000000</v>
      </c>
      <c r="C54" s="1">
        <v>900000</v>
      </c>
      <c r="E54" s="1">
        <f>+S54*10000</f>
        <v>28600</v>
      </c>
      <c r="F54" s="1">
        <f t="shared" si="2"/>
        <v>34.965034965034967</v>
      </c>
      <c r="G54" s="1">
        <f t="shared" si="3"/>
        <v>17.482517482517483</v>
      </c>
      <c r="H54" s="1">
        <f t="shared" si="4"/>
        <v>6.9930069930069934</v>
      </c>
      <c r="I54" s="1">
        <f t="shared" si="5"/>
        <v>3.4965034965034967</v>
      </c>
      <c r="J54" s="1">
        <f t="shared" si="6"/>
        <v>2.3310023310023311</v>
      </c>
      <c r="K54" s="1">
        <f t="shared" si="7"/>
        <v>1.1655011655011656</v>
      </c>
      <c r="L54" s="1">
        <f t="shared" si="8"/>
        <v>0.34965034965034963</v>
      </c>
      <c r="M54" s="4">
        <f t="shared" si="1"/>
        <v>18300</v>
      </c>
      <c r="N54" s="4"/>
      <c r="O54" s="8"/>
      <c r="P54">
        <v>53</v>
      </c>
      <c r="Q54" s="1">
        <v>13000000</v>
      </c>
      <c r="R54" s="4">
        <v>18300</v>
      </c>
      <c r="S54">
        <f>ROUND(1.02^A54,2)</f>
        <v>2.86</v>
      </c>
      <c r="T54" t="str">
        <f t="shared" si="0"/>
        <v>53,13000000,18300,2,86</v>
      </c>
    </row>
    <row r="55" spans="1:20" x14ac:dyDescent="0.25">
      <c r="A55">
        <f t="shared" si="9"/>
        <v>54</v>
      </c>
      <c r="B55" s="1">
        <v>14000000</v>
      </c>
      <c r="C55" s="1">
        <v>1000000</v>
      </c>
      <c r="E55" s="1">
        <f>+S55*10000</f>
        <v>29100</v>
      </c>
      <c r="F55" s="1">
        <f t="shared" si="2"/>
        <v>34.364261168384878</v>
      </c>
      <c r="G55" s="1">
        <f t="shared" si="3"/>
        <v>17.182130584192439</v>
      </c>
      <c r="H55" s="1">
        <f t="shared" si="4"/>
        <v>6.8728522336769755</v>
      </c>
      <c r="I55" s="1">
        <f t="shared" si="5"/>
        <v>3.4364261168384878</v>
      </c>
      <c r="J55" s="1">
        <f t="shared" si="6"/>
        <v>2.2909507445589918</v>
      </c>
      <c r="K55" s="1">
        <f t="shared" si="7"/>
        <v>1.1454753722794959</v>
      </c>
      <c r="L55" s="1">
        <f t="shared" si="8"/>
        <v>0.3436426116838488</v>
      </c>
      <c r="M55" s="4">
        <f t="shared" si="1"/>
        <v>18700</v>
      </c>
      <c r="N55" s="4"/>
      <c r="O55" s="8"/>
      <c r="P55">
        <v>54</v>
      </c>
      <c r="Q55" s="1">
        <v>14000000</v>
      </c>
      <c r="R55" s="4">
        <v>18700</v>
      </c>
      <c r="S55">
        <f>ROUND(1.02^A55,2)</f>
        <v>2.91</v>
      </c>
      <c r="T55" t="str">
        <f t="shared" si="0"/>
        <v>54,14000000,18700,2,91</v>
      </c>
    </row>
    <row r="56" spans="1:20" x14ac:dyDescent="0.25">
      <c r="A56">
        <f t="shared" si="9"/>
        <v>55</v>
      </c>
      <c r="B56" s="1">
        <v>15000000</v>
      </c>
      <c r="C56" s="1">
        <v>1000000</v>
      </c>
      <c r="E56" s="1">
        <f>+S56*10000</f>
        <v>29700.000000000004</v>
      </c>
      <c r="F56" s="1">
        <f t="shared" si="2"/>
        <v>33.670033670033668</v>
      </c>
      <c r="G56" s="1">
        <f t="shared" si="3"/>
        <v>16.835016835016834</v>
      </c>
      <c r="H56" s="1">
        <f t="shared" si="4"/>
        <v>6.7340067340067327</v>
      </c>
      <c r="I56" s="1">
        <f t="shared" si="5"/>
        <v>3.3670033670033663</v>
      </c>
      <c r="J56" s="1">
        <f t="shared" si="6"/>
        <v>2.2446689113355776</v>
      </c>
      <c r="K56" s="1">
        <f t="shared" si="7"/>
        <v>1.1223344556677888</v>
      </c>
      <c r="L56" s="1">
        <f t="shared" si="8"/>
        <v>0.33670033670033667</v>
      </c>
      <c r="M56" s="4">
        <f t="shared" si="1"/>
        <v>19100</v>
      </c>
      <c r="N56" s="4"/>
      <c r="O56" s="8"/>
      <c r="P56">
        <v>55</v>
      </c>
      <c r="Q56" s="1">
        <v>15000000</v>
      </c>
      <c r="R56" s="4">
        <v>19100</v>
      </c>
      <c r="S56">
        <f>ROUND(1.02^A56,2)</f>
        <v>2.97</v>
      </c>
      <c r="T56" t="str">
        <f t="shared" si="0"/>
        <v>55,15000000,19100,2,97</v>
      </c>
    </row>
    <row r="57" spans="1:20" x14ac:dyDescent="0.25">
      <c r="A57">
        <f t="shared" si="9"/>
        <v>56</v>
      </c>
      <c r="B57" s="1">
        <v>16000000</v>
      </c>
      <c r="C57" s="1">
        <v>1000000</v>
      </c>
      <c r="E57" s="1">
        <f>+S57*10000</f>
        <v>30299.999999999996</v>
      </c>
      <c r="F57" s="1">
        <f t="shared" si="2"/>
        <v>33.003300330033007</v>
      </c>
      <c r="G57" s="1">
        <f t="shared" si="3"/>
        <v>16.501650165016503</v>
      </c>
      <c r="H57" s="1">
        <f t="shared" si="4"/>
        <v>6.6006600660066015</v>
      </c>
      <c r="I57" s="1">
        <f t="shared" si="5"/>
        <v>3.3003300330033007</v>
      </c>
      <c r="J57" s="1">
        <f t="shared" si="6"/>
        <v>2.2002200220022003</v>
      </c>
      <c r="K57" s="1">
        <f t="shared" si="7"/>
        <v>1.1001100110011002</v>
      </c>
      <c r="L57" s="1">
        <f t="shared" si="8"/>
        <v>0.33003300330033009</v>
      </c>
      <c r="M57" s="4">
        <f t="shared" si="1"/>
        <v>19500</v>
      </c>
      <c r="N57" s="4"/>
      <c r="O57" s="8"/>
      <c r="P57">
        <v>56</v>
      </c>
      <c r="Q57" s="1">
        <v>16000000</v>
      </c>
      <c r="R57" s="4">
        <v>19500</v>
      </c>
      <c r="S57">
        <f>ROUND(1.02^A57,2)</f>
        <v>3.03</v>
      </c>
      <c r="T57" t="str">
        <f t="shared" si="0"/>
        <v>56,16000000,19500,3,03</v>
      </c>
    </row>
    <row r="58" spans="1:20" x14ac:dyDescent="0.25">
      <c r="A58">
        <f t="shared" si="9"/>
        <v>57</v>
      </c>
      <c r="B58" s="1">
        <v>17000000</v>
      </c>
      <c r="C58" s="1">
        <v>1000000</v>
      </c>
      <c r="E58" s="1">
        <f>+S58*10000</f>
        <v>30900</v>
      </c>
      <c r="F58" s="1">
        <f t="shared" si="2"/>
        <v>32.362459546925564</v>
      </c>
      <c r="G58" s="1">
        <f t="shared" si="3"/>
        <v>16.181229773462782</v>
      </c>
      <c r="H58" s="1">
        <f t="shared" si="4"/>
        <v>6.4724919093851137</v>
      </c>
      <c r="I58" s="1">
        <f t="shared" si="5"/>
        <v>3.2362459546925568</v>
      </c>
      <c r="J58" s="1">
        <f t="shared" si="6"/>
        <v>2.1574973031283711</v>
      </c>
      <c r="K58" s="1">
        <f t="shared" si="7"/>
        <v>1.0787486515641855</v>
      </c>
      <c r="L58" s="1">
        <f t="shared" si="8"/>
        <v>0.32362459546925565</v>
      </c>
      <c r="M58" s="4">
        <f t="shared" si="1"/>
        <v>19800</v>
      </c>
      <c r="N58" s="4"/>
      <c r="O58" s="8"/>
      <c r="P58">
        <v>57</v>
      </c>
      <c r="Q58" s="1">
        <v>17000000</v>
      </c>
      <c r="R58" s="4">
        <v>19800</v>
      </c>
      <c r="S58">
        <f>ROUND(1.02^A58,2)</f>
        <v>3.09</v>
      </c>
      <c r="T58" t="str">
        <f t="shared" si="0"/>
        <v>57,17000000,19800,3,09</v>
      </c>
    </row>
    <row r="59" spans="1:20" x14ac:dyDescent="0.25">
      <c r="A59">
        <f t="shared" si="9"/>
        <v>58</v>
      </c>
      <c r="B59" s="1">
        <v>18000000</v>
      </c>
      <c r="C59" s="1">
        <v>1000000</v>
      </c>
      <c r="E59" s="1">
        <f>+S59*10000</f>
        <v>31500</v>
      </c>
      <c r="F59" s="1">
        <f t="shared" si="2"/>
        <v>63.492063492063494</v>
      </c>
      <c r="G59" s="1">
        <f t="shared" si="3"/>
        <v>31.746031746031747</v>
      </c>
      <c r="H59" s="1">
        <f t="shared" si="4"/>
        <v>12.698412698412698</v>
      </c>
      <c r="I59" s="1">
        <f t="shared" si="5"/>
        <v>6.3492063492063489</v>
      </c>
      <c r="J59" s="1">
        <f t="shared" si="6"/>
        <v>4.2328042328042326</v>
      </c>
      <c r="K59" s="1">
        <f t="shared" si="7"/>
        <v>2.1164021164021163</v>
      </c>
      <c r="L59" s="1">
        <f t="shared" si="8"/>
        <v>0.63492063492063489</v>
      </c>
      <c r="M59" s="4">
        <f t="shared" si="1"/>
        <v>20300</v>
      </c>
      <c r="N59" s="4"/>
      <c r="O59" s="8"/>
      <c r="P59">
        <v>58</v>
      </c>
      <c r="Q59" s="1">
        <v>18000000</v>
      </c>
      <c r="R59" s="4">
        <v>20300</v>
      </c>
      <c r="S59">
        <f>ROUND(1.02^A59,2)</f>
        <v>3.15</v>
      </c>
      <c r="T59" t="str">
        <f t="shared" si="0"/>
        <v>58,18000000,20300,3,15</v>
      </c>
    </row>
    <row r="60" spans="1:20" x14ac:dyDescent="0.25">
      <c r="A60">
        <f t="shared" si="9"/>
        <v>59</v>
      </c>
      <c r="B60" s="1">
        <v>20000000</v>
      </c>
      <c r="C60" s="1">
        <v>2000000</v>
      </c>
      <c r="E60" s="1">
        <f>+S60*10000</f>
        <v>32200.000000000004</v>
      </c>
      <c r="F60" s="1">
        <f t="shared" si="2"/>
        <v>62.11180124223602</v>
      </c>
      <c r="G60" s="1">
        <f t="shared" si="3"/>
        <v>31.05590062111801</v>
      </c>
      <c r="H60" s="1">
        <f t="shared" si="4"/>
        <v>12.422360248447204</v>
      </c>
      <c r="I60" s="1">
        <f t="shared" si="5"/>
        <v>6.2111801242236018</v>
      </c>
      <c r="J60" s="1">
        <f t="shared" si="6"/>
        <v>4.1407867494824009</v>
      </c>
      <c r="K60" s="1">
        <f t="shared" si="7"/>
        <v>2.0703933747412004</v>
      </c>
      <c r="L60" s="1">
        <f t="shared" si="8"/>
        <v>0.6211180124223602</v>
      </c>
      <c r="M60" s="4">
        <f t="shared" si="1"/>
        <v>20700</v>
      </c>
      <c r="N60" s="4"/>
      <c r="O60" s="8"/>
      <c r="P60">
        <v>59</v>
      </c>
      <c r="Q60" s="1">
        <v>20000000</v>
      </c>
      <c r="R60" s="4">
        <v>20700</v>
      </c>
      <c r="S60">
        <f>ROUND(1.02^A60,2)</f>
        <v>3.22</v>
      </c>
      <c r="T60" t="str">
        <f t="shared" si="0"/>
        <v>59,20000000,20700,3,22</v>
      </c>
    </row>
    <row r="61" spans="1:20" x14ac:dyDescent="0.25">
      <c r="A61">
        <f t="shared" si="9"/>
        <v>60</v>
      </c>
      <c r="B61" s="1">
        <v>22000000</v>
      </c>
      <c r="C61" s="1">
        <v>2000000</v>
      </c>
      <c r="E61" s="1">
        <f>+S61*10000</f>
        <v>32800</v>
      </c>
      <c r="F61" s="1">
        <f t="shared" si="2"/>
        <v>60.975609756097562</v>
      </c>
      <c r="G61" s="1">
        <f t="shared" si="3"/>
        <v>30.487804878048781</v>
      </c>
      <c r="H61" s="1">
        <f t="shared" si="4"/>
        <v>12.195121951219512</v>
      </c>
      <c r="I61" s="1">
        <f t="shared" si="5"/>
        <v>6.0975609756097562</v>
      </c>
      <c r="J61" s="1">
        <f t="shared" si="6"/>
        <v>4.0650406504065044</v>
      </c>
      <c r="K61" s="1">
        <f t="shared" si="7"/>
        <v>2.0325203252032522</v>
      </c>
      <c r="L61" s="1">
        <f t="shared" si="8"/>
        <v>0.6097560975609756</v>
      </c>
      <c r="M61" s="4">
        <f t="shared" si="1"/>
        <v>21100</v>
      </c>
      <c r="N61" s="4"/>
      <c r="O61" s="8"/>
      <c r="P61">
        <v>60</v>
      </c>
      <c r="Q61" s="1">
        <v>22000000</v>
      </c>
      <c r="R61" s="4">
        <v>21100</v>
      </c>
      <c r="S61">
        <f>ROUND(1.02^A61,2)</f>
        <v>3.28</v>
      </c>
      <c r="T61" t="str">
        <f t="shared" si="0"/>
        <v>60,22000000,21100,3,28</v>
      </c>
    </row>
    <row r="62" spans="1:20" x14ac:dyDescent="0.25">
      <c r="A62">
        <f t="shared" si="9"/>
        <v>61</v>
      </c>
      <c r="B62" s="1">
        <v>24000000</v>
      </c>
      <c r="C62" s="1">
        <v>2000000</v>
      </c>
      <c r="E62" s="1">
        <f>+S62*10000</f>
        <v>33500</v>
      </c>
      <c r="F62" s="1">
        <f t="shared" si="2"/>
        <v>59.701492537313435</v>
      </c>
      <c r="G62" s="1">
        <f t="shared" si="3"/>
        <v>29.850746268656717</v>
      </c>
      <c r="H62" s="1">
        <f t="shared" si="4"/>
        <v>11.940298507462687</v>
      </c>
      <c r="I62" s="1">
        <f t="shared" si="5"/>
        <v>5.9701492537313436</v>
      </c>
      <c r="J62" s="1">
        <f t="shared" si="6"/>
        <v>3.9800995024875623</v>
      </c>
      <c r="K62" s="1">
        <f t="shared" si="7"/>
        <v>1.9900497512437811</v>
      </c>
      <c r="L62" s="1">
        <f t="shared" si="8"/>
        <v>0.59701492537313428</v>
      </c>
      <c r="M62" s="4">
        <f t="shared" si="1"/>
        <v>21500</v>
      </c>
      <c r="N62" s="4"/>
      <c r="O62" s="8"/>
      <c r="P62">
        <v>61</v>
      </c>
      <c r="Q62" s="1">
        <v>24000000</v>
      </c>
      <c r="R62" s="4">
        <v>21500</v>
      </c>
      <c r="S62">
        <f>ROUND(1.02^A62,2)</f>
        <v>3.35</v>
      </c>
      <c r="T62" t="str">
        <f t="shared" si="0"/>
        <v>61,24000000,21500,3,35</v>
      </c>
    </row>
    <row r="63" spans="1:20" x14ac:dyDescent="0.25">
      <c r="A63">
        <f t="shared" si="9"/>
        <v>62</v>
      </c>
      <c r="B63" s="1">
        <v>26000000</v>
      </c>
      <c r="C63" s="1">
        <v>2000000</v>
      </c>
      <c r="E63" s="1">
        <f>+S63*10000</f>
        <v>34100</v>
      </c>
      <c r="F63" s="1">
        <f t="shared" si="2"/>
        <v>58.651026392961874</v>
      </c>
      <c r="G63" s="1">
        <f t="shared" si="3"/>
        <v>29.325513196480937</v>
      </c>
      <c r="H63" s="1">
        <f t="shared" si="4"/>
        <v>11.730205278592376</v>
      </c>
      <c r="I63" s="1">
        <f t="shared" si="5"/>
        <v>5.8651026392961878</v>
      </c>
      <c r="J63" s="1">
        <f t="shared" si="6"/>
        <v>3.9100684261974585</v>
      </c>
      <c r="K63" s="1">
        <f t="shared" si="7"/>
        <v>1.9550342130987293</v>
      </c>
      <c r="L63" s="1">
        <f t="shared" si="8"/>
        <v>0.5865102639296188</v>
      </c>
      <c r="M63" s="4">
        <f t="shared" si="1"/>
        <v>21900</v>
      </c>
      <c r="N63" s="4"/>
      <c r="O63" s="8"/>
      <c r="P63">
        <v>62</v>
      </c>
      <c r="Q63" s="1">
        <v>26000000</v>
      </c>
      <c r="R63" s="4">
        <v>21900</v>
      </c>
      <c r="S63">
        <f>ROUND(1.02^A63,2)</f>
        <v>3.41</v>
      </c>
      <c r="T63" t="str">
        <f t="shared" si="0"/>
        <v>62,26000000,21900,3,41</v>
      </c>
    </row>
    <row r="64" spans="1:20" x14ac:dyDescent="0.25">
      <c r="A64">
        <f t="shared" si="9"/>
        <v>63</v>
      </c>
      <c r="B64" s="1">
        <v>28000000</v>
      </c>
      <c r="C64" s="1">
        <v>2000000</v>
      </c>
      <c r="E64" s="1">
        <f>+S64*10000</f>
        <v>34800</v>
      </c>
      <c r="F64" s="1">
        <f t="shared" si="2"/>
        <v>57.47126436781609</v>
      </c>
      <c r="G64" s="1">
        <f t="shared" si="3"/>
        <v>28.735632183908045</v>
      </c>
      <c r="H64" s="1">
        <f t="shared" si="4"/>
        <v>11.494252873563218</v>
      </c>
      <c r="I64" s="1">
        <f t="shared" si="5"/>
        <v>5.7471264367816088</v>
      </c>
      <c r="J64" s="1">
        <f t="shared" si="6"/>
        <v>3.8314176245210727</v>
      </c>
      <c r="K64" s="1">
        <f t="shared" si="7"/>
        <v>1.9157088122605364</v>
      </c>
      <c r="L64" s="1">
        <f t="shared" si="8"/>
        <v>0.57471264367816088</v>
      </c>
      <c r="M64" s="4">
        <f t="shared" si="1"/>
        <v>22400</v>
      </c>
      <c r="N64" s="4"/>
      <c r="O64" s="8"/>
      <c r="P64">
        <v>63</v>
      </c>
      <c r="Q64" s="1">
        <v>28000000</v>
      </c>
      <c r="R64" s="4">
        <v>22400</v>
      </c>
      <c r="S64">
        <f>ROUND(1.02^A64,2)</f>
        <v>3.48</v>
      </c>
      <c r="T64" t="str">
        <f t="shared" si="0"/>
        <v>63,28000000,22400,3,48</v>
      </c>
    </row>
    <row r="65" spans="1:20" x14ac:dyDescent="0.25">
      <c r="A65">
        <f t="shared" si="9"/>
        <v>64</v>
      </c>
      <c r="B65" s="1">
        <v>30000000</v>
      </c>
      <c r="C65" s="1">
        <v>2000000</v>
      </c>
      <c r="E65" s="1">
        <f>+S65*10000</f>
        <v>35500</v>
      </c>
      <c r="F65" s="1">
        <f t="shared" si="2"/>
        <v>84.507042253521121</v>
      </c>
      <c r="G65" s="1">
        <f t="shared" si="3"/>
        <v>42.25352112676056</v>
      </c>
      <c r="H65" s="1">
        <f t="shared" si="4"/>
        <v>16.901408450704224</v>
      </c>
      <c r="I65" s="1">
        <f t="shared" si="5"/>
        <v>8.4507042253521121</v>
      </c>
      <c r="J65" s="1">
        <f t="shared" si="6"/>
        <v>5.6338028169014081</v>
      </c>
      <c r="K65" s="1">
        <f t="shared" si="7"/>
        <v>2.816901408450704</v>
      </c>
      <c r="L65" s="1">
        <f t="shared" si="8"/>
        <v>0.84507042253521125</v>
      </c>
      <c r="M65" s="4">
        <f t="shared" si="1"/>
        <v>22800</v>
      </c>
      <c r="N65" s="4"/>
      <c r="O65" s="8"/>
      <c r="P65">
        <v>64</v>
      </c>
      <c r="Q65" s="1">
        <v>30000000</v>
      </c>
      <c r="R65" s="4">
        <v>22800</v>
      </c>
      <c r="S65">
        <f>ROUND(1.02^A65,2)</f>
        <v>3.55</v>
      </c>
      <c r="T65" t="str">
        <f t="shared" si="0"/>
        <v>64,30000000,22800,3,55</v>
      </c>
    </row>
    <row r="66" spans="1:20" x14ac:dyDescent="0.25">
      <c r="A66">
        <f t="shared" si="9"/>
        <v>65</v>
      </c>
      <c r="B66" s="1">
        <v>33000000</v>
      </c>
      <c r="C66" s="1">
        <v>3000000</v>
      </c>
      <c r="E66" s="1">
        <f>+S66*10000</f>
        <v>36200</v>
      </c>
      <c r="F66" s="1">
        <f t="shared" si="2"/>
        <v>82.872928176795583</v>
      </c>
      <c r="G66" s="1">
        <f t="shared" si="3"/>
        <v>41.436464088397791</v>
      </c>
      <c r="H66" s="1">
        <f t="shared" si="4"/>
        <v>16.574585635359117</v>
      </c>
      <c r="I66" s="1">
        <f t="shared" si="5"/>
        <v>8.2872928176795586</v>
      </c>
      <c r="J66" s="1">
        <f t="shared" si="6"/>
        <v>5.5248618784530388</v>
      </c>
      <c r="K66" s="1">
        <f t="shared" si="7"/>
        <v>2.7624309392265194</v>
      </c>
      <c r="L66" s="1">
        <f t="shared" si="8"/>
        <v>0.82872928176795579</v>
      </c>
      <c r="M66" s="4">
        <f t="shared" si="1"/>
        <v>23200</v>
      </c>
      <c r="N66" s="4"/>
      <c r="O66" s="8"/>
      <c r="P66">
        <v>65</v>
      </c>
      <c r="Q66" s="1">
        <v>33000000</v>
      </c>
      <c r="R66" s="4">
        <v>23200</v>
      </c>
      <c r="S66">
        <f>ROUND(1.02^A66,2)</f>
        <v>3.62</v>
      </c>
      <c r="T66" t="str">
        <f t="shared" ref="T66:T129" si="10">P66&amp;","&amp;Q66&amp;","&amp;R66&amp;","&amp;S66</f>
        <v>65,33000000,23200,3,62</v>
      </c>
    </row>
    <row r="67" spans="1:20" x14ac:dyDescent="0.25">
      <c r="A67">
        <f t="shared" si="9"/>
        <v>66</v>
      </c>
      <c r="B67" s="1">
        <v>36000000</v>
      </c>
      <c r="C67" s="1">
        <v>3000000</v>
      </c>
      <c r="E67" s="1">
        <f>+S67*10000</f>
        <v>36900</v>
      </c>
      <c r="F67" s="1">
        <f t="shared" si="2"/>
        <v>81.300813008130078</v>
      </c>
      <c r="G67" s="1">
        <f t="shared" si="3"/>
        <v>40.650406504065039</v>
      </c>
      <c r="H67" s="1">
        <f t="shared" si="4"/>
        <v>16.260162601626018</v>
      </c>
      <c r="I67" s="1">
        <f t="shared" si="5"/>
        <v>8.1300813008130088</v>
      </c>
      <c r="J67" s="1">
        <f t="shared" si="6"/>
        <v>5.4200542005420056</v>
      </c>
      <c r="K67" s="1">
        <f t="shared" si="7"/>
        <v>2.7100271002710028</v>
      </c>
      <c r="L67" s="1">
        <f t="shared" si="8"/>
        <v>0.81300813008130079</v>
      </c>
      <c r="M67" s="4">
        <f t="shared" ref="M67:M130" si="11">ROUND(MAX(E68*6.3*10%,C68*0.05%),-MAX(2,INT(LOG10(MAX(E68*6.3*10%,C68*0.05%)))-2))</f>
        <v>23800</v>
      </c>
      <c r="N67" s="4"/>
      <c r="O67" s="8"/>
      <c r="P67">
        <v>66</v>
      </c>
      <c r="Q67" s="1">
        <v>36000000</v>
      </c>
      <c r="R67" s="4">
        <v>23800</v>
      </c>
      <c r="S67">
        <f>ROUND(1.02^A67,2)</f>
        <v>3.69</v>
      </c>
      <c r="T67" t="str">
        <f t="shared" si="10"/>
        <v>66,36000000,23800,3,69</v>
      </c>
    </row>
    <row r="68" spans="1:20" x14ac:dyDescent="0.25">
      <c r="A68">
        <f t="shared" si="9"/>
        <v>67</v>
      </c>
      <c r="B68" s="1">
        <v>39000000</v>
      </c>
      <c r="C68" s="1">
        <v>3000000</v>
      </c>
      <c r="E68" s="1">
        <f>+S68*10000</f>
        <v>37700</v>
      </c>
      <c r="F68" s="1">
        <f t="shared" ref="F68:F131" si="12">$C69/($E68*1)</f>
        <v>79.57559681697613</v>
      </c>
      <c r="G68" s="1">
        <f t="shared" ref="G68:G131" si="13">$C69/($E68*2)</f>
        <v>39.787798408488065</v>
      </c>
      <c r="H68" s="1">
        <f t="shared" ref="H68:H131" si="14">$C69/($E68*5)</f>
        <v>15.915119363395226</v>
      </c>
      <c r="I68" s="1">
        <f t="shared" ref="I68:I131" si="15">$C69/($E68*10)</f>
        <v>7.9575596816976129</v>
      </c>
      <c r="J68" s="1">
        <f t="shared" ref="J68:J131" si="16">$C69/($E68*15)</f>
        <v>5.3050397877984086</v>
      </c>
      <c r="K68" s="1">
        <f t="shared" ref="K68:K131" si="17">$C69/($E68*30)</f>
        <v>2.6525198938992043</v>
      </c>
      <c r="L68" s="1">
        <f t="shared" ref="L68:L131" si="18">$C69/($E68*100)</f>
        <v>0.79575596816976124</v>
      </c>
      <c r="M68" s="4">
        <f t="shared" si="11"/>
        <v>24200</v>
      </c>
      <c r="N68" s="4"/>
      <c r="O68" s="8"/>
      <c r="P68">
        <v>67</v>
      </c>
      <c r="Q68" s="1">
        <v>39000000</v>
      </c>
      <c r="R68" s="4">
        <v>24200</v>
      </c>
      <c r="S68">
        <f>ROUND(1.02^A68,2)</f>
        <v>3.77</v>
      </c>
      <c r="T68" t="str">
        <f t="shared" si="10"/>
        <v>67,39000000,24200,3,77</v>
      </c>
    </row>
    <row r="69" spans="1:20" x14ac:dyDescent="0.25">
      <c r="A69">
        <f t="shared" ref="A69:A132" si="19">+A68+1</f>
        <v>68</v>
      </c>
      <c r="B69" s="1">
        <v>42000000</v>
      </c>
      <c r="C69" s="1">
        <v>3000000</v>
      </c>
      <c r="E69" s="1">
        <f>+S69*10000</f>
        <v>38400</v>
      </c>
      <c r="F69" s="1">
        <f t="shared" si="12"/>
        <v>78.125</v>
      </c>
      <c r="G69" s="1">
        <f t="shared" si="13"/>
        <v>39.0625</v>
      </c>
      <c r="H69" s="1">
        <f t="shared" si="14"/>
        <v>15.625</v>
      </c>
      <c r="I69" s="1">
        <f t="shared" si="15"/>
        <v>7.8125</v>
      </c>
      <c r="J69" s="1">
        <f t="shared" si="16"/>
        <v>5.208333333333333</v>
      </c>
      <c r="K69" s="1">
        <f t="shared" si="17"/>
        <v>2.6041666666666665</v>
      </c>
      <c r="L69" s="1">
        <f t="shared" si="18"/>
        <v>0.78125</v>
      </c>
      <c r="M69" s="4">
        <f t="shared" si="11"/>
        <v>24700</v>
      </c>
      <c r="N69" s="4"/>
      <c r="O69" s="8"/>
      <c r="P69">
        <v>68</v>
      </c>
      <c r="Q69" s="1">
        <v>42000000</v>
      </c>
      <c r="R69" s="4">
        <v>24700</v>
      </c>
      <c r="S69">
        <f>ROUND(1.02^A69,2)</f>
        <v>3.84</v>
      </c>
      <c r="T69" t="str">
        <f t="shared" si="10"/>
        <v>68,42000000,24700,3,84</v>
      </c>
    </row>
    <row r="70" spans="1:20" x14ac:dyDescent="0.25">
      <c r="A70">
        <f t="shared" si="19"/>
        <v>69</v>
      </c>
      <c r="B70" s="1">
        <v>45000000</v>
      </c>
      <c r="C70" s="1">
        <v>3000000</v>
      </c>
      <c r="E70" s="1">
        <f>+S70*10000</f>
        <v>39200</v>
      </c>
      <c r="F70" s="1">
        <f t="shared" si="12"/>
        <v>102.04081632653062</v>
      </c>
      <c r="G70" s="1">
        <f t="shared" si="13"/>
        <v>51.020408163265309</v>
      </c>
      <c r="H70" s="1">
        <f t="shared" si="14"/>
        <v>20.408163265306122</v>
      </c>
      <c r="I70" s="1">
        <f t="shared" si="15"/>
        <v>10.204081632653061</v>
      </c>
      <c r="J70" s="1">
        <f t="shared" si="16"/>
        <v>6.8027210884353737</v>
      </c>
      <c r="K70" s="1">
        <f t="shared" si="17"/>
        <v>3.4013605442176869</v>
      </c>
      <c r="L70" s="1">
        <f t="shared" si="18"/>
        <v>1.0204081632653061</v>
      </c>
      <c r="M70" s="4">
        <f t="shared" si="11"/>
        <v>25200</v>
      </c>
      <c r="N70" s="4"/>
      <c r="O70" s="8"/>
      <c r="P70">
        <v>69</v>
      </c>
      <c r="Q70" s="1">
        <v>45000000</v>
      </c>
      <c r="R70" s="4">
        <v>25200</v>
      </c>
      <c r="S70">
        <f>ROUND(1.02^A70,2)</f>
        <v>3.92</v>
      </c>
      <c r="T70" t="str">
        <f t="shared" si="10"/>
        <v>69,45000000,25200,3,92</v>
      </c>
    </row>
    <row r="71" spans="1:20" x14ac:dyDescent="0.25">
      <c r="A71">
        <f t="shared" si="19"/>
        <v>70</v>
      </c>
      <c r="B71" s="1">
        <v>49000000</v>
      </c>
      <c r="C71" s="1">
        <v>4000000</v>
      </c>
      <c r="E71" s="1">
        <f>+S71*10000</f>
        <v>40000</v>
      </c>
      <c r="F71" s="1">
        <f t="shared" si="12"/>
        <v>100</v>
      </c>
      <c r="G71" s="1">
        <f t="shared" si="13"/>
        <v>50</v>
      </c>
      <c r="H71" s="1">
        <f t="shared" si="14"/>
        <v>20</v>
      </c>
      <c r="I71" s="1">
        <f t="shared" si="15"/>
        <v>10</v>
      </c>
      <c r="J71" s="1">
        <f t="shared" si="16"/>
        <v>6.666666666666667</v>
      </c>
      <c r="K71" s="1">
        <f t="shared" si="17"/>
        <v>3.3333333333333335</v>
      </c>
      <c r="L71" s="1">
        <f t="shared" si="18"/>
        <v>1</v>
      </c>
      <c r="M71" s="4">
        <f t="shared" si="11"/>
        <v>25700</v>
      </c>
      <c r="N71" s="4"/>
      <c r="O71" s="8"/>
      <c r="P71">
        <v>70</v>
      </c>
      <c r="Q71" s="1">
        <v>49000000</v>
      </c>
      <c r="R71" s="4">
        <v>25700</v>
      </c>
      <c r="S71">
        <f>ROUND(1.02^A71,2)</f>
        <v>4</v>
      </c>
      <c r="T71" t="str">
        <f t="shared" si="10"/>
        <v>70,49000000,25700,4</v>
      </c>
    </row>
    <row r="72" spans="1:20" x14ac:dyDescent="0.25">
      <c r="A72">
        <f t="shared" si="19"/>
        <v>71</v>
      </c>
      <c r="B72" s="1">
        <v>53000000</v>
      </c>
      <c r="C72" s="1">
        <v>4000000</v>
      </c>
      <c r="E72" s="1">
        <f>+S72*10000</f>
        <v>40800</v>
      </c>
      <c r="F72" s="1">
        <f t="shared" si="12"/>
        <v>98.039215686274517</v>
      </c>
      <c r="G72" s="1">
        <f t="shared" si="13"/>
        <v>49.019607843137258</v>
      </c>
      <c r="H72" s="1">
        <f t="shared" si="14"/>
        <v>19.607843137254903</v>
      </c>
      <c r="I72" s="1">
        <f t="shared" si="15"/>
        <v>9.8039215686274517</v>
      </c>
      <c r="J72" s="1">
        <f t="shared" si="16"/>
        <v>6.5359477124183005</v>
      </c>
      <c r="K72" s="1">
        <f t="shared" si="17"/>
        <v>3.2679738562091503</v>
      </c>
      <c r="L72" s="1">
        <f t="shared" si="18"/>
        <v>0.98039215686274506</v>
      </c>
      <c r="M72" s="4">
        <f t="shared" si="11"/>
        <v>26200</v>
      </c>
      <c r="N72" s="4"/>
      <c r="O72" s="8"/>
      <c r="P72">
        <v>71</v>
      </c>
      <c r="Q72" s="1">
        <v>53000000</v>
      </c>
      <c r="R72" s="4">
        <v>26200</v>
      </c>
      <c r="S72">
        <f>ROUND(1.02^A72,2)</f>
        <v>4.08</v>
      </c>
      <c r="T72" t="str">
        <f t="shared" si="10"/>
        <v>71,53000000,26200,4,08</v>
      </c>
    </row>
    <row r="73" spans="1:20" x14ac:dyDescent="0.25">
      <c r="A73">
        <f t="shared" si="19"/>
        <v>72</v>
      </c>
      <c r="B73" s="1">
        <v>57000000</v>
      </c>
      <c r="C73" s="1">
        <v>4000000</v>
      </c>
      <c r="E73" s="1">
        <f>+S73*10000</f>
        <v>41600</v>
      </c>
      <c r="F73" s="1">
        <f t="shared" si="12"/>
        <v>120.19230769230769</v>
      </c>
      <c r="G73" s="1">
        <f t="shared" si="13"/>
        <v>60.096153846153847</v>
      </c>
      <c r="H73" s="1">
        <f t="shared" si="14"/>
        <v>24.03846153846154</v>
      </c>
      <c r="I73" s="1">
        <f t="shared" si="15"/>
        <v>12.01923076923077</v>
      </c>
      <c r="J73" s="1">
        <f t="shared" si="16"/>
        <v>8.0128205128205128</v>
      </c>
      <c r="K73" s="1">
        <f t="shared" si="17"/>
        <v>4.0064102564102564</v>
      </c>
      <c r="L73" s="1">
        <f t="shared" si="18"/>
        <v>1.2019230769230769</v>
      </c>
      <c r="M73" s="4">
        <f t="shared" si="11"/>
        <v>26700</v>
      </c>
      <c r="N73" s="4"/>
      <c r="O73" s="8"/>
      <c r="P73">
        <v>72</v>
      </c>
      <c r="Q73" s="1">
        <v>57000000</v>
      </c>
      <c r="R73" s="4">
        <v>26700</v>
      </c>
      <c r="S73">
        <f>ROUND(1.02^A73,2)</f>
        <v>4.16</v>
      </c>
      <c r="T73" t="str">
        <f t="shared" si="10"/>
        <v>72,57000000,26700,4,16</v>
      </c>
    </row>
    <row r="74" spans="1:20" x14ac:dyDescent="0.25">
      <c r="A74">
        <f t="shared" si="19"/>
        <v>73</v>
      </c>
      <c r="B74" s="1">
        <v>62000000</v>
      </c>
      <c r="C74" s="1">
        <v>5000000</v>
      </c>
      <c r="E74" s="1">
        <f>+S74*10000</f>
        <v>42400</v>
      </c>
      <c r="F74" s="1">
        <f t="shared" si="12"/>
        <v>117.9245283018868</v>
      </c>
      <c r="G74" s="1">
        <f t="shared" si="13"/>
        <v>58.962264150943398</v>
      </c>
      <c r="H74" s="1">
        <f t="shared" si="14"/>
        <v>23.584905660377359</v>
      </c>
      <c r="I74" s="1">
        <f t="shared" si="15"/>
        <v>11.79245283018868</v>
      </c>
      <c r="J74" s="1">
        <f t="shared" si="16"/>
        <v>7.8616352201257858</v>
      </c>
      <c r="K74" s="1">
        <f t="shared" si="17"/>
        <v>3.9308176100628929</v>
      </c>
      <c r="L74" s="1">
        <f t="shared" si="18"/>
        <v>1.179245283018868</v>
      </c>
      <c r="M74" s="4">
        <f t="shared" si="11"/>
        <v>27300</v>
      </c>
      <c r="N74" s="4"/>
      <c r="O74" s="8"/>
      <c r="P74">
        <v>73</v>
      </c>
      <c r="Q74" s="1">
        <v>62000000</v>
      </c>
      <c r="R74" s="4">
        <v>27300</v>
      </c>
      <c r="S74">
        <f>ROUND(1.02^A74,2)</f>
        <v>4.24</v>
      </c>
      <c r="T74" t="str">
        <f t="shared" si="10"/>
        <v>73,62000000,27300,4,24</v>
      </c>
    </row>
    <row r="75" spans="1:20" x14ac:dyDescent="0.25">
      <c r="A75">
        <f t="shared" si="19"/>
        <v>74</v>
      </c>
      <c r="B75" s="1">
        <v>67000000</v>
      </c>
      <c r="C75" s="1">
        <v>5000000</v>
      </c>
      <c r="E75" s="1">
        <f>+S75*10000</f>
        <v>43300</v>
      </c>
      <c r="F75" s="1">
        <f t="shared" si="12"/>
        <v>138.56812933025404</v>
      </c>
      <c r="G75" s="1">
        <f t="shared" si="13"/>
        <v>69.284064665127019</v>
      </c>
      <c r="H75" s="1">
        <f t="shared" si="14"/>
        <v>27.713625866050808</v>
      </c>
      <c r="I75" s="1">
        <f t="shared" si="15"/>
        <v>13.856812933025404</v>
      </c>
      <c r="J75" s="1">
        <f t="shared" si="16"/>
        <v>9.2378752886836022</v>
      </c>
      <c r="K75" s="1">
        <f t="shared" si="17"/>
        <v>4.6189376443418011</v>
      </c>
      <c r="L75" s="1">
        <f t="shared" si="18"/>
        <v>1.3856812933025404</v>
      </c>
      <c r="M75" s="4">
        <f t="shared" si="11"/>
        <v>27800</v>
      </c>
      <c r="N75" s="4"/>
      <c r="O75" s="8"/>
      <c r="P75">
        <v>74</v>
      </c>
      <c r="Q75" s="1">
        <v>67000000</v>
      </c>
      <c r="R75" s="4">
        <v>27800</v>
      </c>
      <c r="S75">
        <f>ROUND(1.02^A75,2)</f>
        <v>4.33</v>
      </c>
      <c r="T75" t="str">
        <f t="shared" si="10"/>
        <v>74,67000000,27800,4,33</v>
      </c>
    </row>
    <row r="76" spans="1:20" x14ac:dyDescent="0.25">
      <c r="A76">
        <f t="shared" si="19"/>
        <v>75</v>
      </c>
      <c r="B76" s="1">
        <v>73000000</v>
      </c>
      <c r="C76" s="1">
        <v>6000000</v>
      </c>
      <c r="E76" s="1">
        <f>+S76*10000</f>
        <v>44200</v>
      </c>
      <c r="F76" s="1">
        <f t="shared" si="12"/>
        <v>135.74660633484163</v>
      </c>
      <c r="G76" s="1">
        <f t="shared" si="13"/>
        <v>67.873303167420815</v>
      </c>
      <c r="H76" s="1">
        <f t="shared" si="14"/>
        <v>27.149321266968325</v>
      </c>
      <c r="I76" s="1">
        <f t="shared" si="15"/>
        <v>13.574660633484163</v>
      </c>
      <c r="J76" s="1">
        <f t="shared" si="16"/>
        <v>9.0497737556561084</v>
      </c>
      <c r="K76" s="1">
        <f t="shared" si="17"/>
        <v>4.5248868778280542</v>
      </c>
      <c r="L76" s="1">
        <f t="shared" si="18"/>
        <v>1.3574660633484164</v>
      </c>
      <c r="M76" s="4">
        <f t="shared" si="11"/>
        <v>28400</v>
      </c>
      <c r="N76" s="4"/>
      <c r="O76" s="8"/>
      <c r="P76">
        <v>75</v>
      </c>
      <c r="Q76" s="1">
        <v>73000000</v>
      </c>
      <c r="R76" s="4">
        <v>28400</v>
      </c>
      <c r="S76">
        <f>ROUND(1.02^A76,2)</f>
        <v>4.42</v>
      </c>
      <c r="T76" t="str">
        <f t="shared" si="10"/>
        <v>75,73000000,28400,4,42</v>
      </c>
    </row>
    <row r="77" spans="1:20" x14ac:dyDescent="0.25">
      <c r="A77">
        <f t="shared" si="19"/>
        <v>76</v>
      </c>
      <c r="B77" s="1">
        <v>79000000</v>
      </c>
      <c r="C77" s="1">
        <v>6000000</v>
      </c>
      <c r="E77" s="1">
        <f>+S77*10000</f>
        <v>45000</v>
      </c>
      <c r="F77" s="1">
        <f t="shared" si="12"/>
        <v>133.33333333333334</v>
      </c>
      <c r="G77" s="1">
        <f t="shared" si="13"/>
        <v>66.666666666666671</v>
      </c>
      <c r="H77" s="1">
        <f t="shared" si="14"/>
        <v>26.666666666666668</v>
      </c>
      <c r="I77" s="1">
        <f t="shared" si="15"/>
        <v>13.333333333333334</v>
      </c>
      <c r="J77" s="1">
        <f t="shared" si="16"/>
        <v>8.8888888888888893</v>
      </c>
      <c r="K77" s="1">
        <f t="shared" si="17"/>
        <v>4.4444444444444446</v>
      </c>
      <c r="L77" s="1">
        <f t="shared" si="18"/>
        <v>1.3333333333333333</v>
      </c>
      <c r="M77" s="4">
        <f t="shared" si="11"/>
        <v>28900</v>
      </c>
      <c r="N77" s="4"/>
      <c r="O77" s="8"/>
      <c r="P77">
        <v>76</v>
      </c>
      <c r="Q77" s="1">
        <v>79000000</v>
      </c>
      <c r="R77" s="4">
        <v>28900</v>
      </c>
      <c r="S77">
        <f>ROUND(1.02^A77,2)</f>
        <v>4.5</v>
      </c>
      <c r="T77" t="str">
        <f t="shared" si="10"/>
        <v>76,79000000,28900,4,5</v>
      </c>
    </row>
    <row r="78" spans="1:20" x14ac:dyDescent="0.25">
      <c r="A78">
        <f t="shared" si="19"/>
        <v>77</v>
      </c>
      <c r="B78" s="1">
        <v>85000000</v>
      </c>
      <c r="C78" s="1">
        <v>6000000</v>
      </c>
      <c r="E78" s="1">
        <f>+S78*10000</f>
        <v>45900</v>
      </c>
      <c r="F78" s="1">
        <f t="shared" si="12"/>
        <v>152.50544662309369</v>
      </c>
      <c r="G78" s="1">
        <f t="shared" si="13"/>
        <v>76.252723311546845</v>
      </c>
      <c r="H78" s="1">
        <f t="shared" si="14"/>
        <v>30.501089324618736</v>
      </c>
      <c r="I78" s="1">
        <f t="shared" si="15"/>
        <v>15.250544662309368</v>
      </c>
      <c r="J78" s="1">
        <f t="shared" si="16"/>
        <v>10.167029774872912</v>
      </c>
      <c r="K78" s="1">
        <f t="shared" si="17"/>
        <v>5.083514887436456</v>
      </c>
      <c r="L78" s="1">
        <f t="shared" si="18"/>
        <v>1.5250544662309369</v>
      </c>
      <c r="M78" s="4">
        <f t="shared" si="11"/>
        <v>29500</v>
      </c>
      <c r="N78" s="4"/>
      <c r="O78" s="8"/>
      <c r="P78">
        <v>77</v>
      </c>
      <c r="Q78" s="1">
        <v>85000000</v>
      </c>
      <c r="R78" s="4">
        <v>29500</v>
      </c>
      <c r="S78">
        <f>ROUND(1.02^A78,2)</f>
        <v>4.59</v>
      </c>
      <c r="T78" t="str">
        <f t="shared" si="10"/>
        <v>77,85000000,29500,4,59</v>
      </c>
    </row>
    <row r="79" spans="1:20" x14ac:dyDescent="0.25">
      <c r="A79">
        <f t="shared" si="19"/>
        <v>78</v>
      </c>
      <c r="B79" s="1">
        <v>92000000</v>
      </c>
      <c r="C79" s="1">
        <v>7000000</v>
      </c>
      <c r="E79" s="1">
        <f>+S79*10000</f>
        <v>46900.000000000007</v>
      </c>
      <c r="F79" s="1">
        <f t="shared" si="12"/>
        <v>149.25373134328356</v>
      </c>
      <c r="G79" s="1">
        <f t="shared" si="13"/>
        <v>74.626865671641781</v>
      </c>
      <c r="H79" s="1">
        <f t="shared" si="14"/>
        <v>29.850746268656714</v>
      </c>
      <c r="I79" s="1">
        <f t="shared" si="15"/>
        <v>14.925373134328357</v>
      </c>
      <c r="J79" s="1">
        <f t="shared" si="16"/>
        <v>9.9502487562189046</v>
      </c>
      <c r="K79" s="1">
        <f t="shared" si="17"/>
        <v>4.9751243781094523</v>
      </c>
      <c r="L79" s="1">
        <f t="shared" si="18"/>
        <v>1.4925373134328355</v>
      </c>
      <c r="M79" s="4">
        <f t="shared" si="11"/>
        <v>30100</v>
      </c>
      <c r="N79" s="4"/>
      <c r="O79" s="8"/>
      <c r="P79">
        <v>78</v>
      </c>
      <c r="Q79" s="1">
        <v>92000000</v>
      </c>
      <c r="R79" s="4">
        <v>30100</v>
      </c>
      <c r="S79">
        <f>ROUND(1.02^A79,2)</f>
        <v>4.6900000000000004</v>
      </c>
      <c r="T79" t="str">
        <f t="shared" si="10"/>
        <v>78,92000000,30100,4,69</v>
      </c>
    </row>
    <row r="80" spans="1:20" x14ac:dyDescent="0.25">
      <c r="A80">
        <f t="shared" si="19"/>
        <v>79</v>
      </c>
      <c r="B80" s="1">
        <v>99000000</v>
      </c>
      <c r="C80" s="1">
        <v>7000000</v>
      </c>
      <c r="E80" s="1">
        <f>+S80*10000</f>
        <v>47800</v>
      </c>
      <c r="F80" s="1">
        <f t="shared" si="12"/>
        <v>167.36401673640168</v>
      </c>
      <c r="G80" s="1">
        <f t="shared" si="13"/>
        <v>83.68200836820084</v>
      </c>
      <c r="H80" s="1">
        <f t="shared" si="14"/>
        <v>33.472803347280333</v>
      </c>
      <c r="I80" s="1">
        <f t="shared" si="15"/>
        <v>16.736401673640167</v>
      </c>
      <c r="J80" s="1">
        <f t="shared" si="16"/>
        <v>11.157601115760112</v>
      </c>
      <c r="K80" s="1">
        <f t="shared" si="17"/>
        <v>5.5788005578800561</v>
      </c>
      <c r="L80" s="1">
        <f t="shared" si="18"/>
        <v>1.6736401673640167</v>
      </c>
      <c r="M80" s="4">
        <f t="shared" si="11"/>
        <v>30700</v>
      </c>
      <c r="N80" s="4"/>
      <c r="O80" s="8"/>
      <c r="P80">
        <v>79</v>
      </c>
      <c r="Q80" s="1">
        <v>99000000</v>
      </c>
      <c r="R80" s="4">
        <v>30700</v>
      </c>
      <c r="S80">
        <f>ROUND(1.02^A80,2)</f>
        <v>4.78</v>
      </c>
      <c r="T80" t="str">
        <f t="shared" si="10"/>
        <v>79,99000000,30700,4,78</v>
      </c>
    </row>
    <row r="81" spans="1:20" x14ac:dyDescent="0.25">
      <c r="A81">
        <f t="shared" si="19"/>
        <v>80</v>
      </c>
      <c r="B81" s="1">
        <v>107000000</v>
      </c>
      <c r="C81" s="1">
        <v>8000000</v>
      </c>
      <c r="E81" s="1">
        <f>+S81*10000</f>
        <v>48800</v>
      </c>
      <c r="F81" s="1">
        <f t="shared" si="12"/>
        <v>184.42622950819671</v>
      </c>
      <c r="G81" s="1">
        <f t="shared" si="13"/>
        <v>92.213114754098356</v>
      </c>
      <c r="H81" s="1">
        <f t="shared" si="14"/>
        <v>36.885245901639344</v>
      </c>
      <c r="I81" s="1">
        <f t="shared" si="15"/>
        <v>18.442622950819672</v>
      </c>
      <c r="J81" s="1">
        <f t="shared" si="16"/>
        <v>12.295081967213115</v>
      </c>
      <c r="K81" s="1">
        <f t="shared" si="17"/>
        <v>6.1475409836065573</v>
      </c>
      <c r="L81" s="1">
        <f t="shared" si="18"/>
        <v>1.8442622950819672</v>
      </c>
      <c r="M81" s="4">
        <f t="shared" si="11"/>
        <v>31300</v>
      </c>
      <c r="N81" s="4"/>
      <c r="O81" s="8"/>
      <c r="P81">
        <v>80</v>
      </c>
      <c r="Q81" s="1">
        <v>107000000</v>
      </c>
      <c r="R81" s="4">
        <v>31300</v>
      </c>
      <c r="S81">
        <f>ROUND(1.02^A81,2)</f>
        <v>4.88</v>
      </c>
      <c r="T81" t="str">
        <f t="shared" si="10"/>
        <v>80,107000000,31300,4,88</v>
      </c>
    </row>
    <row r="82" spans="1:20" x14ac:dyDescent="0.25">
      <c r="A82">
        <f t="shared" si="19"/>
        <v>81</v>
      </c>
      <c r="B82" s="1">
        <v>116000000</v>
      </c>
      <c r="C82" s="1">
        <v>9000000</v>
      </c>
      <c r="E82" s="1">
        <f>+S82*10000</f>
        <v>49700</v>
      </c>
      <c r="F82" s="1">
        <f t="shared" si="12"/>
        <v>181.08651911468812</v>
      </c>
      <c r="G82" s="1">
        <f t="shared" si="13"/>
        <v>90.543259557344058</v>
      </c>
      <c r="H82" s="1">
        <f t="shared" si="14"/>
        <v>36.217303822937623</v>
      </c>
      <c r="I82" s="1">
        <f t="shared" si="15"/>
        <v>18.108651911468812</v>
      </c>
      <c r="J82" s="1">
        <f t="shared" si="16"/>
        <v>12.072434607645874</v>
      </c>
      <c r="K82" s="1">
        <f t="shared" si="17"/>
        <v>6.0362173038229372</v>
      </c>
      <c r="L82" s="1">
        <f t="shared" si="18"/>
        <v>1.8108651911468814</v>
      </c>
      <c r="M82" s="4">
        <f t="shared" si="11"/>
        <v>31900</v>
      </c>
      <c r="N82" s="4"/>
      <c r="O82" s="8"/>
      <c r="P82">
        <v>81</v>
      </c>
      <c r="Q82" s="1">
        <v>116000000</v>
      </c>
      <c r="R82" s="4">
        <v>31900</v>
      </c>
      <c r="S82">
        <f>ROUND(1.02^A82,2)</f>
        <v>4.97</v>
      </c>
      <c r="T82" t="str">
        <f t="shared" si="10"/>
        <v>81,116000000,31900,4,97</v>
      </c>
    </row>
    <row r="83" spans="1:20" x14ac:dyDescent="0.25">
      <c r="A83">
        <f t="shared" si="19"/>
        <v>82</v>
      </c>
      <c r="B83" s="1">
        <v>125000000</v>
      </c>
      <c r="C83" s="1">
        <v>9000000</v>
      </c>
      <c r="E83" s="1">
        <f>+S83*10000</f>
        <v>50700</v>
      </c>
      <c r="F83" s="1">
        <f t="shared" si="12"/>
        <v>197.23865877712032</v>
      </c>
      <c r="G83" s="1">
        <f t="shared" si="13"/>
        <v>98.619329388560161</v>
      </c>
      <c r="H83" s="1">
        <f t="shared" si="14"/>
        <v>39.447731755424066</v>
      </c>
      <c r="I83" s="1">
        <f t="shared" si="15"/>
        <v>19.723865877712033</v>
      </c>
      <c r="J83" s="1">
        <f t="shared" si="16"/>
        <v>13.149243918474689</v>
      </c>
      <c r="K83" s="1">
        <f t="shared" si="17"/>
        <v>6.5746219592373443</v>
      </c>
      <c r="L83" s="1">
        <f t="shared" si="18"/>
        <v>1.9723865877712032</v>
      </c>
      <c r="M83" s="4">
        <f t="shared" si="11"/>
        <v>32600</v>
      </c>
      <c r="N83" s="4"/>
      <c r="O83" s="8"/>
      <c r="P83">
        <v>82</v>
      </c>
      <c r="Q83" s="1">
        <v>125000000</v>
      </c>
      <c r="R83" s="4">
        <v>32600</v>
      </c>
      <c r="S83">
        <f>ROUND(1.02^A83,2)</f>
        <v>5.07</v>
      </c>
      <c r="T83" t="str">
        <f t="shared" si="10"/>
        <v>82,125000000,32600,5,07</v>
      </c>
    </row>
    <row r="84" spans="1:20" x14ac:dyDescent="0.25">
      <c r="A84">
        <f t="shared" si="19"/>
        <v>83</v>
      </c>
      <c r="B84" s="1">
        <v>135000000</v>
      </c>
      <c r="C84" s="1">
        <v>10000000</v>
      </c>
      <c r="E84" s="1">
        <f>+S84*10000</f>
        <v>51700</v>
      </c>
      <c r="F84" s="1">
        <f t="shared" si="12"/>
        <v>193.42359767891682</v>
      </c>
      <c r="G84" s="1">
        <f t="shared" si="13"/>
        <v>96.71179883945841</v>
      </c>
      <c r="H84" s="1">
        <f t="shared" si="14"/>
        <v>38.684719535783366</v>
      </c>
      <c r="I84" s="1">
        <f t="shared" si="15"/>
        <v>19.342359767891683</v>
      </c>
      <c r="J84" s="1">
        <f t="shared" si="16"/>
        <v>12.894906511927788</v>
      </c>
      <c r="K84" s="1">
        <f t="shared" si="17"/>
        <v>6.447453255963894</v>
      </c>
      <c r="L84" s="1">
        <f t="shared" si="18"/>
        <v>1.9342359767891684</v>
      </c>
      <c r="M84" s="4">
        <f t="shared" si="11"/>
        <v>33300</v>
      </c>
      <c r="N84" s="4"/>
      <c r="O84" s="8"/>
      <c r="P84">
        <v>83</v>
      </c>
      <c r="Q84" s="1">
        <v>135000000</v>
      </c>
      <c r="R84" s="4">
        <v>33300</v>
      </c>
      <c r="S84">
        <f>ROUND(1.02^A84,2)</f>
        <v>5.17</v>
      </c>
      <c r="T84" t="str">
        <f t="shared" si="10"/>
        <v>83,135000000,33300,5,17</v>
      </c>
    </row>
    <row r="85" spans="1:20" x14ac:dyDescent="0.25">
      <c r="A85">
        <f t="shared" si="19"/>
        <v>84</v>
      </c>
      <c r="B85" s="1">
        <v>145000000</v>
      </c>
      <c r="C85" s="1">
        <v>10000000</v>
      </c>
      <c r="E85" s="1">
        <f>+S85*10000</f>
        <v>52800</v>
      </c>
      <c r="F85" s="1">
        <f t="shared" si="12"/>
        <v>189.39393939393941</v>
      </c>
      <c r="G85" s="1">
        <f t="shared" si="13"/>
        <v>94.696969696969703</v>
      </c>
      <c r="H85" s="1">
        <f t="shared" si="14"/>
        <v>37.878787878787875</v>
      </c>
      <c r="I85" s="1">
        <f t="shared" si="15"/>
        <v>18.939393939393938</v>
      </c>
      <c r="J85" s="1">
        <f t="shared" si="16"/>
        <v>12.626262626262626</v>
      </c>
      <c r="K85" s="1">
        <f t="shared" si="17"/>
        <v>6.3131313131313131</v>
      </c>
      <c r="L85" s="1">
        <f t="shared" si="18"/>
        <v>1.893939393939394</v>
      </c>
      <c r="M85" s="4">
        <f t="shared" si="11"/>
        <v>33900</v>
      </c>
      <c r="N85" s="4"/>
      <c r="O85" s="8"/>
      <c r="P85">
        <v>84</v>
      </c>
      <c r="Q85" s="1">
        <v>145000000</v>
      </c>
      <c r="R85" s="4">
        <v>33900</v>
      </c>
      <c r="S85">
        <f>ROUND(1.02^A85,2)</f>
        <v>5.28</v>
      </c>
      <c r="T85" t="str">
        <f t="shared" si="10"/>
        <v>84,145000000,33900,5,28</v>
      </c>
    </row>
    <row r="86" spans="1:20" x14ac:dyDescent="0.25">
      <c r="A86">
        <f t="shared" si="19"/>
        <v>85</v>
      </c>
      <c r="B86" s="1">
        <v>155000000</v>
      </c>
      <c r="C86" s="1">
        <v>10000000</v>
      </c>
      <c r="E86" s="1">
        <f>+S86*10000</f>
        <v>53800</v>
      </c>
      <c r="F86" s="1">
        <f t="shared" si="12"/>
        <v>185.87360594795538</v>
      </c>
      <c r="G86" s="1">
        <f t="shared" si="13"/>
        <v>92.936802973977692</v>
      </c>
      <c r="H86" s="1">
        <f t="shared" si="14"/>
        <v>37.174721189591075</v>
      </c>
      <c r="I86" s="1">
        <f t="shared" si="15"/>
        <v>18.587360594795538</v>
      </c>
      <c r="J86" s="1">
        <f t="shared" si="16"/>
        <v>12.391573729863692</v>
      </c>
      <c r="K86" s="1">
        <f t="shared" si="17"/>
        <v>6.1957868649318462</v>
      </c>
      <c r="L86" s="1">
        <f t="shared" si="18"/>
        <v>1.8587360594795539</v>
      </c>
      <c r="M86" s="4">
        <f t="shared" si="11"/>
        <v>34600</v>
      </c>
      <c r="N86" s="4"/>
      <c r="O86" s="8"/>
      <c r="P86">
        <v>85</v>
      </c>
      <c r="Q86" s="1">
        <v>155000000</v>
      </c>
      <c r="R86" s="4">
        <v>34600</v>
      </c>
      <c r="S86">
        <f>ROUND(1.02^A86,2)</f>
        <v>5.38</v>
      </c>
      <c r="T86" t="str">
        <f t="shared" si="10"/>
        <v>85,155000000,34600,5,38</v>
      </c>
    </row>
    <row r="87" spans="1:20" x14ac:dyDescent="0.25">
      <c r="A87">
        <f t="shared" si="19"/>
        <v>86</v>
      </c>
      <c r="B87" s="1">
        <v>165000000</v>
      </c>
      <c r="C87" s="1">
        <v>10000000</v>
      </c>
      <c r="E87" s="1">
        <f>+S87*10000</f>
        <v>54900</v>
      </c>
      <c r="F87" s="1">
        <f t="shared" si="12"/>
        <v>182.14936247723134</v>
      </c>
      <c r="G87" s="1">
        <f t="shared" si="13"/>
        <v>91.074681238615668</v>
      </c>
      <c r="H87" s="1">
        <f t="shared" si="14"/>
        <v>36.429872495446268</v>
      </c>
      <c r="I87" s="1">
        <f t="shared" si="15"/>
        <v>18.214936247723134</v>
      </c>
      <c r="J87" s="1">
        <f t="shared" si="16"/>
        <v>12.143290831815422</v>
      </c>
      <c r="K87" s="1">
        <f t="shared" si="17"/>
        <v>6.0716454159077111</v>
      </c>
      <c r="L87" s="1">
        <f t="shared" si="18"/>
        <v>1.8214936247723132</v>
      </c>
      <c r="M87" s="4">
        <f t="shared" si="11"/>
        <v>35300</v>
      </c>
      <c r="N87" s="4"/>
      <c r="O87" s="8"/>
      <c r="P87">
        <v>86</v>
      </c>
      <c r="Q87" s="1">
        <v>165000000</v>
      </c>
      <c r="R87" s="4">
        <v>35300</v>
      </c>
      <c r="S87">
        <f>ROUND(1.02^A87,2)</f>
        <v>5.49</v>
      </c>
      <c r="T87" t="str">
        <f t="shared" si="10"/>
        <v>86,165000000,35300,5,49</v>
      </c>
    </row>
    <row r="88" spans="1:20" x14ac:dyDescent="0.25">
      <c r="A88">
        <f t="shared" si="19"/>
        <v>87</v>
      </c>
      <c r="B88" s="1">
        <v>175000000</v>
      </c>
      <c r="C88" s="1">
        <v>10000000</v>
      </c>
      <c r="E88" s="1">
        <f>+S88*10000</f>
        <v>56000</v>
      </c>
      <c r="F88" s="1">
        <f t="shared" si="12"/>
        <v>267.85714285714283</v>
      </c>
      <c r="G88" s="1">
        <f t="shared" si="13"/>
        <v>133.92857142857142</v>
      </c>
      <c r="H88" s="1">
        <f t="shared" si="14"/>
        <v>53.571428571428569</v>
      </c>
      <c r="I88" s="1">
        <f t="shared" si="15"/>
        <v>26.785714285714285</v>
      </c>
      <c r="J88" s="1">
        <f t="shared" si="16"/>
        <v>17.857142857142858</v>
      </c>
      <c r="K88" s="1">
        <f t="shared" si="17"/>
        <v>8.9285714285714288</v>
      </c>
      <c r="L88" s="1">
        <f t="shared" si="18"/>
        <v>2.6785714285714284</v>
      </c>
      <c r="M88" s="4">
        <f t="shared" si="11"/>
        <v>36000</v>
      </c>
      <c r="N88" s="4"/>
      <c r="O88" s="8"/>
      <c r="P88">
        <v>87</v>
      </c>
      <c r="Q88" s="1">
        <v>175000000</v>
      </c>
      <c r="R88" s="4">
        <v>36000</v>
      </c>
      <c r="S88">
        <f>ROUND(1.02^A88,2)</f>
        <v>5.6</v>
      </c>
      <c r="T88" t="str">
        <f t="shared" si="10"/>
        <v>87,175000000,36000,5,6</v>
      </c>
    </row>
    <row r="89" spans="1:20" x14ac:dyDescent="0.25">
      <c r="A89">
        <f t="shared" si="19"/>
        <v>88</v>
      </c>
      <c r="B89" s="1">
        <v>190000000</v>
      </c>
      <c r="C89" s="1">
        <v>15000000</v>
      </c>
      <c r="E89" s="1">
        <f>+S89*10000</f>
        <v>57100</v>
      </c>
      <c r="F89" s="1">
        <f t="shared" si="12"/>
        <v>350.2626970227671</v>
      </c>
      <c r="G89" s="1">
        <f t="shared" si="13"/>
        <v>175.13134851138355</v>
      </c>
      <c r="H89" s="1">
        <f t="shared" si="14"/>
        <v>70.052539404553414</v>
      </c>
      <c r="I89" s="1">
        <f t="shared" si="15"/>
        <v>35.026269702276707</v>
      </c>
      <c r="J89" s="1">
        <f t="shared" si="16"/>
        <v>23.350846468184471</v>
      </c>
      <c r="K89" s="1">
        <f t="shared" si="17"/>
        <v>11.675423234092236</v>
      </c>
      <c r="L89" s="1">
        <f t="shared" si="18"/>
        <v>3.5026269702276709</v>
      </c>
      <c r="M89" s="4">
        <f t="shared" si="11"/>
        <v>36700</v>
      </c>
      <c r="N89" s="4"/>
      <c r="O89" s="8"/>
      <c r="P89">
        <v>88</v>
      </c>
      <c r="Q89" s="1">
        <v>190000000</v>
      </c>
      <c r="R89" s="4">
        <v>36700</v>
      </c>
      <c r="S89">
        <f>ROUND(1.02^A89,2)</f>
        <v>5.71</v>
      </c>
      <c r="T89" t="str">
        <f t="shared" si="10"/>
        <v>88,190000000,36700,5,71</v>
      </c>
    </row>
    <row r="90" spans="1:20" x14ac:dyDescent="0.25">
      <c r="A90">
        <f t="shared" si="19"/>
        <v>89</v>
      </c>
      <c r="B90" s="1">
        <v>210000000</v>
      </c>
      <c r="C90" s="1">
        <v>20000000</v>
      </c>
      <c r="E90" s="1">
        <f>+S90*10000</f>
        <v>58300</v>
      </c>
      <c r="F90" s="1">
        <f t="shared" si="12"/>
        <v>343.05317324185251</v>
      </c>
      <c r="G90" s="1">
        <f t="shared" si="13"/>
        <v>171.52658662092625</v>
      </c>
      <c r="H90" s="1">
        <f t="shared" si="14"/>
        <v>68.610634648370493</v>
      </c>
      <c r="I90" s="1">
        <f t="shared" si="15"/>
        <v>34.305317324185246</v>
      </c>
      <c r="J90" s="1">
        <f t="shared" si="16"/>
        <v>22.870211549456833</v>
      </c>
      <c r="K90" s="1">
        <f t="shared" si="17"/>
        <v>11.435105774728417</v>
      </c>
      <c r="L90" s="1">
        <f t="shared" si="18"/>
        <v>3.4305317324185247</v>
      </c>
      <c r="M90" s="4">
        <f t="shared" si="11"/>
        <v>37400</v>
      </c>
      <c r="N90" s="4"/>
      <c r="O90" s="8"/>
      <c r="P90">
        <v>89</v>
      </c>
      <c r="Q90" s="1">
        <v>210000000</v>
      </c>
      <c r="R90" s="4">
        <v>37400</v>
      </c>
      <c r="S90">
        <f>ROUND(1.02^A90,2)</f>
        <v>5.83</v>
      </c>
      <c r="T90" t="str">
        <f t="shared" si="10"/>
        <v>89,210000000,37400,5,83</v>
      </c>
    </row>
    <row r="91" spans="1:20" x14ac:dyDescent="0.25">
      <c r="A91">
        <f t="shared" si="19"/>
        <v>90</v>
      </c>
      <c r="B91" s="1">
        <v>230000000</v>
      </c>
      <c r="C91" s="1">
        <v>20000000</v>
      </c>
      <c r="E91" s="1">
        <f>+S91*10000</f>
        <v>59400.000000000007</v>
      </c>
      <c r="F91" s="1">
        <f t="shared" si="12"/>
        <v>336.70033670033666</v>
      </c>
      <c r="G91" s="1">
        <f t="shared" si="13"/>
        <v>168.35016835016833</v>
      </c>
      <c r="H91" s="1">
        <f t="shared" si="14"/>
        <v>67.340067340067321</v>
      </c>
      <c r="I91" s="1">
        <f t="shared" si="15"/>
        <v>33.670033670033661</v>
      </c>
      <c r="J91" s="1">
        <f t="shared" si="16"/>
        <v>22.446689113355777</v>
      </c>
      <c r="K91" s="1">
        <f t="shared" si="17"/>
        <v>11.223344556677889</v>
      </c>
      <c r="L91" s="1">
        <f t="shared" si="18"/>
        <v>3.3670033670033663</v>
      </c>
      <c r="M91" s="4">
        <f t="shared" si="11"/>
        <v>38200</v>
      </c>
      <c r="N91" s="4"/>
      <c r="O91" s="8"/>
      <c r="P91">
        <v>90</v>
      </c>
      <c r="Q91" s="1">
        <v>230000000</v>
      </c>
      <c r="R91" s="4">
        <v>38200</v>
      </c>
      <c r="S91">
        <f>ROUND(1.02^A91,2)</f>
        <v>5.94</v>
      </c>
      <c r="T91" t="str">
        <f t="shared" si="10"/>
        <v>90,230000000,38200,5,94</v>
      </c>
    </row>
    <row r="92" spans="1:20" x14ac:dyDescent="0.25">
      <c r="A92">
        <f t="shared" si="19"/>
        <v>91</v>
      </c>
      <c r="B92" s="1">
        <v>250000000</v>
      </c>
      <c r="C92" s="1">
        <v>20000000</v>
      </c>
      <c r="E92" s="1">
        <f>+S92*10000</f>
        <v>60599.999999999993</v>
      </c>
      <c r="F92" s="1">
        <f t="shared" si="12"/>
        <v>330.03300330033005</v>
      </c>
      <c r="G92" s="1">
        <f t="shared" si="13"/>
        <v>165.01650165016503</v>
      </c>
      <c r="H92" s="1">
        <f t="shared" si="14"/>
        <v>66.006600660066013</v>
      </c>
      <c r="I92" s="1">
        <f t="shared" si="15"/>
        <v>33.003300330033007</v>
      </c>
      <c r="J92" s="1">
        <f t="shared" si="16"/>
        <v>22.002200220022004</v>
      </c>
      <c r="K92" s="1">
        <f t="shared" si="17"/>
        <v>11.001100110011002</v>
      </c>
      <c r="L92" s="1">
        <f t="shared" si="18"/>
        <v>3.3003300330033007</v>
      </c>
      <c r="M92" s="4">
        <f t="shared" si="11"/>
        <v>38900</v>
      </c>
      <c r="N92" s="4"/>
      <c r="O92" s="8"/>
      <c r="P92">
        <v>91</v>
      </c>
      <c r="Q92" s="1">
        <v>250000000</v>
      </c>
      <c r="R92" s="4">
        <v>38900</v>
      </c>
      <c r="S92">
        <f>ROUND(1.02^A92,2)</f>
        <v>6.06</v>
      </c>
      <c r="T92" t="str">
        <f t="shared" si="10"/>
        <v>91,250000000,38900,6,06</v>
      </c>
    </row>
    <row r="93" spans="1:20" x14ac:dyDescent="0.25">
      <c r="A93">
        <f t="shared" si="19"/>
        <v>92</v>
      </c>
      <c r="B93" s="1">
        <v>270000000</v>
      </c>
      <c r="C93" s="1">
        <v>20000000</v>
      </c>
      <c r="E93" s="1">
        <f>+S93*10000</f>
        <v>61800</v>
      </c>
      <c r="F93" s="1">
        <f t="shared" si="12"/>
        <v>323.62459546925567</v>
      </c>
      <c r="G93" s="1">
        <f t="shared" si="13"/>
        <v>161.81229773462783</v>
      </c>
      <c r="H93" s="1">
        <f t="shared" si="14"/>
        <v>64.724919093851128</v>
      </c>
      <c r="I93" s="1">
        <f t="shared" si="15"/>
        <v>32.362459546925564</v>
      </c>
      <c r="J93" s="1">
        <f t="shared" si="16"/>
        <v>21.574973031283712</v>
      </c>
      <c r="K93" s="1">
        <f t="shared" si="17"/>
        <v>10.787486515641856</v>
      </c>
      <c r="L93" s="1">
        <f t="shared" si="18"/>
        <v>3.2362459546925568</v>
      </c>
      <c r="M93" s="4">
        <f t="shared" si="11"/>
        <v>39800</v>
      </c>
      <c r="N93" s="4"/>
      <c r="O93" s="8"/>
      <c r="P93">
        <v>92</v>
      </c>
      <c r="Q93" s="1">
        <v>270000000</v>
      </c>
      <c r="R93" s="4">
        <v>39800</v>
      </c>
      <c r="S93">
        <f>ROUND(1.02^A93,2)</f>
        <v>6.18</v>
      </c>
      <c r="T93" t="str">
        <f t="shared" si="10"/>
        <v>92,270000000,39800,6,18</v>
      </c>
    </row>
    <row r="94" spans="1:20" x14ac:dyDescent="0.25">
      <c r="A94">
        <f t="shared" si="19"/>
        <v>93</v>
      </c>
      <c r="B94" s="1">
        <v>290000000</v>
      </c>
      <c r="C94" s="1">
        <v>20000000</v>
      </c>
      <c r="E94" s="1">
        <f>+S94*10000</f>
        <v>63099.999999999993</v>
      </c>
      <c r="F94" s="1">
        <f t="shared" si="12"/>
        <v>316.9572107765452</v>
      </c>
      <c r="G94" s="1">
        <f t="shared" si="13"/>
        <v>158.4786053882726</v>
      </c>
      <c r="H94" s="1">
        <f t="shared" si="14"/>
        <v>63.391442155309043</v>
      </c>
      <c r="I94" s="1">
        <f t="shared" si="15"/>
        <v>31.695721077654522</v>
      </c>
      <c r="J94" s="1">
        <f t="shared" si="16"/>
        <v>21.130480718436345</v>
      </c>
      <c r="K94" s="1">
        <f t="shared" si="17"/>
        <v>10.565240359218173</v>
      </c>
      <c r="L94" s="1">
        <f t="shared" si="18"/>
        <v>3.1695721077654522</v>
      </c>
      <c r="M94" s="4">
        <f t="shared" si="11"/>
        <v>40500</v>
      </c>
      <c r="N94" s="4"/>
      <c r="O94" s="8"/>
      <c r="P94">
        <v>93</v>
      </c>
      <c r="Q94" s="1">
        <v>290000000</v>
      </c>
      <c r="R94" s="4">
        <v>40500</v>
      </c>
      <c r="S94">
        <f>ROUND(1.02^A94,2)</f>
        <v>6.31</v>
      </c>
      <c r="T94" t="str">
        <f t="shared" si="10"/>
        <v>93,290000000,40500,6,31</v>
      </c>
    </row>
    <row r="95" spans="1:20" x14ac:dyDescent="0.25">
      <c r="A95">
        <f t="shared" si="19"/>
        <v>94</v>
      </c>
      <c r="B95" s="1">
        <v>310000000</v>
      </c>
      <c r="C95" s="1">
        <v>20000000</v>
      </c>
      <c r="E95" s="1">
        <f>+S95*10000</f>
        <v>64300</v>
      </c>
      <c r="F95" s="1">
        <f t="shared" si="12"/>
        <v>466.56298600311044</v>
      </c>
      <c r="G95" s="1">
        <f t="shared" si="13"/>
        <v>233.28149300155522</v>
      </c>
      <c r="H95" s="1">
        <f t="shared" si="14"/>
        <v>93.312597200622079</v>
      </c>
      <c r="I95" s="1">
        <f t="shared" si="15"/>
        <v>46.65629860031104</v>
      </c>
      <c r="J95" s="1">
        <f t="shared" si="16"/>
        <v>31.104199066874028</v>
      </c>
      <c r="K95" s="1">
        <f t="shared" si="17"/>
        <v>15.552099533437014</v>
      </c>
      <c r="L95" s="1">
        <f t="shared" si="18"/>
        <v>4.6656298600311041</v>
      </c>
      <c r="M95" s="4">
        <f t="shared" si="11"/>
        <v>41300</v>
      </c>
      <c r="N95" s="4"/>
      <c r="O95" s="8"/>
      <c r="P95">
        <v>94</v>
      </c>
      <c r="Q95" s="1">
        <v>310000000</v>
      </c>
      <c r="R95" s="4">
        <v>41300</v>
      </c>
      <c r="S95">
        <f>ROUND(1.02^A95,2)</f>
        <v>6.43</v>
      </c>
      <c r="T95" t="str">
        <f t="shared" si="10"/>
        <v>94,310000000,41300,6,43</v>
      </c>
    </row>
    <row r="96" spans="1:20" x14ac:dyDescent="0.25">
      <c r="A96">
        <f t="shared" si="19"/>
        <v>95</v>
      </c>
      <c r="B96" s="1">
        <v>340000000</v>
      </c>
      <c r="C96" s="1">
        <v>30000000</v>
      </c>
      <c r="E96" s="1">
        <f>+S96*10000</f>
        <v>65600</v>
      </c>
      <c r="F96" s="1">
        <f t="shared" si="12"/>
        <v>457.3170731707317</v>
      </c>
      <c r="G96" s="1">
        <f t="shared" si="13"/>
        <v>228.65853658536585</v>
      </c>
      <c r="H96" s="1">
        <f t="shared" si="14"/>
        <v>91.463414634146346</v>
      </c>
      <c r="I96" s="1">
        <f t="shared" si="15"/>
        <v>45.731707317073173</v>
      </c>
      <c r="J96" s="1">
        <f t="shared" si="16"/>
        <v>30.487804878048781</v>
      </c>
      <c r="K96" s="1">
        <f t="shared" si="17"/>
        <v>15.24390243902439</v>
      </c>
      <c r="L96" s="1">
        <f t="shared" si="18"/>
        <v>4.5731707317073171</v>
      </c>
      <c r="M96" s="4">
        <f t="shared" si="11"/>
        <v>42100</v>
      </c>
      <c r="N96" s="4"/>
      <c r="O96" s="8"/>
      <c r="P96">
        <v>95</v>
      </c>
      <c r="Q96" s="1">
        <v>340000000</v>
      </c>
      <c r="R96" s="4">
        <v>42100</v>
      </c>
      <c r="S96">
        <f>ROUND(1.02^A96,2)</f>
        <v>6.56</v>
      </c>
      <c r="T96" t="str">
        <f t="shared" si="10"/>
        <v>95,340000000,42100,6,56</v>
      </c>
    </row>
    <row r="97" spans="1:20" x14ac:dyDescent="0.25">
      <c r="A97">
        <f t="shared" si="19"/>
        <v>96</v>
      </c>
      <c r="B97" s="1">
        <v>370000000</v>
      </c>
      <c r="C97" s="1">
        <v>30000000</v>
      </c>
      <c r="E97" s="1">
        <f>+S97*10000</f>
        <v>66900</v>
      </c>
      <c r="F97" s="1">
        <f t="shared" si="12"/>
        <v>448.4304932735426</v>
      </c>
      <c r="G97" s="1">
        <f t="shared" si="13"/>
        <v>224.2152466367713</v>
      </c>
      <c r="H97" s="1">
        <f t="shared" si="14"/>
        <v>89.686098654708516</v>
      </c>
      <c r="I97" s="1">
        <f t="shared" si="15"/>
        <v>44.843049327354258</v>
      </c>
      <c r="J97" s="1">
        <f t="shared" si="16"/>
        <v>29.895366218236173</v>
      </c>
      <c r="K97" s="1">
        <f t="shared" si="17"/>
        <v>14.947683109118087</v>
      </c>
      <c r="L97" s="1">
        <f t="shared" si="18"/>
        <v>4.4843049327354256</v>
      </c>
      <c r="M97" s="4">
        <f t="shared" si="11"/>
        <v>43000</v>
      </c>
      <c r="N97" s="4"/>
      <c r="O97" s="8"/>
      <c r="P97">
        <v>96</v>
      </c>
      <c r="Q97" s="1">
        <v>370000000</v>
      </c>
      <c r="R97" s="4">
        <v>43000</v>
      </c>
      <c r="S97">
        <f>ROUND(1.02^A97,2)</f>
        <v>6.69</v>
      </c>
      <c r="T97" t="str">
        <f t="shared" si="10"/>
        <v>96,370000000,43000,6,69</v>
      </c>
    </row>
    <row r="98" spans="1:20" x14ac:dyDescent="0.25">
      <c r="A98">
        <f t="shared" si="19"/>
        <v>97</v>
      </c>
      <c r="B98" s="1">
        <v>400000000</v>
      </c>
      <c r="C98" s="1">
        <v>30000000</v>
      </c>
      <c r="E98" s="1">
        <f>+S98*10000</f>
        <v>68300</v>
      </c>
      <c r="F98" s="1">
        <f t="shared" si="12"/>
        <v>439.23865300146412</v>
      </c>
      <c r="G98" s="1">
        <f t="shared" si="13"/>
        <v>219.61932650073206</v>
      </c>
      <c r="H98" s="1">
        <f t="shared" si="14"/>
        <v>87.84773060029282</v>
      </c>
      <c r="I98" s="1">
        <f t="shared" si="15"/>
        <v>43.92386530014641</v>
      </c>
      <c r="J98" s="1">
        <f t="shared" si="16"/>
        <v>29.282576866764277</v>
      </c>
      <c r="K98" s="1">
        <f t="shared" si="17"/>
        <v>14.641288433382138</v>
      </c>
      <c r="L98" s="1">
        <f t="shared" si="18"/>
        <v>4.3923865300146412</v>
      </c>
      <c r="M98" s="4">
        <f t="shared" si="11"/>
        <v>43800</v>
      </c>
      <c r="N98" s="4"/>
      <c r="O98" s="8"/>
      <c r="P98">
        <v>97</v>
      </c>
      <c r="Q98" s="1">
        <v>400000000</v>
      </c>
      <c r="R98" s="4">
        <v>43800</v>
      </c>
      <c r="S98">
        <f>ROUND(1.02^A98,2)</f>
        <v>6.83</v>
      </c>
      <c r="T98" t="str">
        <f t="shared" si="10"/>
        <v>97,400000000,43800,6,83</v>
      </c>
    </row>
    <row r="99" spans="1:20" x14ac:dyDescent="0.25">
      <c r="A99">
        <f t="shared" si="19"/>
        <v>98</v>
      </c>
      <c r="B99" s="1">
        <v>430000000</v>
      </c>
      <c r="C99" s="1">
        <v>30000000</v>
      </c>
      <c r="E99" s="1">
        <f>+S99*10000</f>
        <v>69600</v>
      </c>
      <c r="F99" s="1">
        <f t="shared" si="12"/>
        <v>431.0344827586207</v>
      </c>
      <c r="G99" s="1">
        <f t="shared" si="13"/>
        <v>215.51724137931035</v>
      </c>
      <c r="H99" s="1">
        <f t="shared" si="14"/>
        <v>86.206896551724142</v>
      </c>
      <c r="I99" s="1">
        <f t="shared" si="15"/>
        <v>43.103448275862071</v>
      </c>
      <c r="J99" s="1">
        <f t="shared" si="16"/>
        <v>28.735632183908045</v>
      </c>
      <c r="K99" s="1">
        <f t="shared" si="17"/>
        <v>14.367816091954023</v>
      </c>
      <c r="L99" s="1">
        <f t="shared" si="18"/>
        <v>4.3103448275862073</v>
      </c>
      <c r="M99" s="4">
        <f t="shared" si="11"/>
        <v>44700</v>
      </c>
      <c r="N99" s="4"/>
      <c r="O99" s="8"/>
      <c r="P99">
        <v>98</v>
      </c>
      <c r="Q99" s="1">
        <v>430000000</v>
      </c>
      <c r="R99" s="4">
        <v>44700</v>
      </c>
      <c r="S99">
        <f>ROUND(1.02^A99,2)</f>
        <v>6.96</v>
      </c>
      <c r="T99" t="str">
        <f t="shared" si="10"/>
        <v>98,430000000,44700,6,96</v>
      </c>
    </row>
    <row r="100" spans="1:20" x14ac:dyDescent="0.25">
      <c r="A100">
        <f t="shared" si="19"/>
        <v>99</v>
      </c>
      <c r="B100" s="1">
        <v>460000000</v>
      </c>
      <c r="C100" s="1">
        <v>30000000</v>
      </c>
      <c r="E100" s="1">
        <f>+S100*10000</f>
        <v>71000</v>
      </c>
      <c r="F100" s="1">
        <f t="shared" si="12"/>
        <v>563.38028169014081</v>
      </c>
      <c r="G100" s="1">
        <f t="shared" si="13"/>
        <v>281.6901408450704</v>
      </c>
      <c r="H100" s="1">
        <f t="shared" si="14"/>
        <v>112.67605633802818</v>
      </c>
      <c r="I100" s="1">
        <f t="shared" si="15"/>
        <v>56.338028169014088</v>
      </c>
      <c r="J100" s="1">
        <f t="shared" si="16"/>
        <v>37.558685446009392</v>
      </c>
      <c r="K100" s="1">
        <f t="shared" si="17"/>
        <v>18.779342723004696</v>
      </c>
      <c r="L100" s="1">
        <f t="shared" si="18"/>
        <v>5.6338028169014081</v>
      </c>
      <c r="M100" s="4">
        <f t="shared" si="11"/>
        <v>45600</v>
      </c>
      <c r="N100" s="4"/>
      <c r="O100" s="8"/>
      <c r="P100">
        <v>99</v>
      </c>
      <c r="Q100" s="1">
        <v>460000000</v>
      </c>
      <c r="R100" s="4">
        <v>45600</v>
      </c>
      <c r="S100">
        <f>ROUND(1.02^A100,2)</f>
        <v>7.1</v>
      </c>
      <c r="T100" t="str">
        <f t="shared" si="10"/>
        <v>99,460000000,45600,7,1</v>
      </c>
    </row>
    <row r="101" spans="1:20" x14ac:dyDescent="0.25">
      <c r="A101">
        <f t="shared" si="19"/>
        <v>100</v>
      </c>
      <c r="B101" s="1">
        <v>500000000</v>
      </c>
      <c r="C101" s="1">
        <v>40000000</v>
      </c>
      <c r="E101" s="1">
        <f>+S101*10000</f>
        <v>72400</v>
      </c>
      <c r="F101" s="1">
        <f t="shared" si="12"/>
        <v>552.4861878453039</v>
      </c>
      <c r="G101" s="1">
        <f t="shared" si="13"/>
        <v>276.24309392265195</v>
      </c>
      <c r="H101" s="1">
        <f t="shared" si="14"/>
        <v>110.49723756906077</v>
      </c>
      <c r="I101" s="1">
        <f t="shared" si="15"/>
        <v>55.248618784530386</v>
      </c>
      <c r="J101" s="1">
        <f t="shared" si="16"/>
        <v>36.83241252302026</v>
      </c>
      <c r="K101" s="1">
        <f t="shared" si="17"/>
        <v>18.41620626151013</v>
      </c>
      <c r="L101" s="1">
        <f t="shared" si="18"/>
        <v>5.5248618784530388</v>
      </c>
      <c r="M101" s="4">
        <f t="shared" si="11"/>
        <v>46600</v>
      </c>
      <c r="N101" s="4"/>
      <c r="O101" s="8"/>
      <c r="P101">
        <v>100</v>
      </c>
      <c r="Q101" s="1">
        <v>500000000</v>
      </c>
      <c r="R101" s="4">
        <v>46600</v>
      </c>
      <c r="S101">
        <f>ROUND(1.02^A101,2)</f>
        <v>7.24</v>
      </c>
      <c r="T101" t="str">
        <f t="shared" si="10"/>
        <v>100,500000000,46600,7,24</v>
      </c>
    </row>
    <row r="102" spans="1:20" x14ac:dyDescent="0.25">
      <c r="A102">
        <f t="shared" si="19"/>
        <v>101</v>
      </c>
      <c r="B102" s="1">
        <v>540000000</v>
      </c>
      <c r="C102" s="1">
        <v>40000000</v>
      </c>
      <c r="E102" s="1">
        <f>+S102*10000</f>
        <v>73900</v>
      </c>
      <c r="F102" s="1">
        <f t="shared" si="12"/>
        <v>541.27198917456019</v>
      </c>
      <c r="G102" s="1">
        <f t="shared" si="13"/>
        <v>270.63599458728009</v>
      </c>
      <c r="H102" s="1">
        <f t="shared" si="14"/>
        <v>108.25439783491204</v>
      </c>
      <c r="I102" s="1">
        <f t="shared" si="15"/>
        <v>54.12719891745602</v>
      </c>
      <c r="J102" s="1">
        <f t="shared" si="16"/>
        <v>36.084799278304011</v>
      </c>
      <c r="K102" s="1">
        <f t="shared" si="17"/>
        <v>18.042399639152006</v>
      </c>
      <c r="L102" s="1">
        <f t="shared" si="18"/>
        <v>5.4127198917456019</v>
      </c>
      <c r="M102" s="4">
        <f t="shared" si="11"/>
        <v>47500</v>
      </c>
      <c r="N102" s="4"/>
      <c r="O102" s="8"/>
      <c r="P102">
        <v>101</v>
      </c>
      <c r="Q102" s="1">
        <v>540000000</v>
      </c>
      <c r="R102" s="4">
        <v>47500</v>
      </c>
      <c r="S102">
        <f>ROUND(1.02^A102,2)</f>
        <v>7.39</v>
      </c>
      <c r="T102" t="str">
        <f t="shared" si="10"/>
        <v>101,540000000,47500,7,39</v>
      </c>
    </row>
    <row r="103" spans="1:20" x14ac:dyDescent="0.25">
      <c r="A103">
        <f t="shared" si="19"/>
        <v>102</v>
      </c>
      <c r="B103" s="1">
        <v>580000000</v>
      </c>
      <c r="C103" s="1">
        <v>40000000</v>
      </c>
      <c r="E103" s="1">
        <f>+S103*10000</f>
        <v>75400</v>
      </c>
      <c r="F103" s="1">
        <f t="shared" si="12"/>
        <v>663.12997347480109</v>
      </c>
      <c r="G103" s="1">
        <f t="shared" si="13"/>
        <v>331.56498673740055</v>
      </c>
      <c r="H103" s="1">
        <f t="shared" si="14"/>
        <v>132.62599469496021</v>
      </c>
      <c r="I103" s="1">
        <f t="shared" si="15"/>
        <v>66.312997347480106</v>
      </c>
      <c r="J103" s="1">
        <f t="shared" si="16"/>
        <v>44.208664898320073</v>
      </c>
      <c r="K103" s="1">
        <f t="shared" si="17"/>
        <v>22.104332449160037</v>
      </c>
      <c r="L103" s="1">
        <f t="shared" si="18"/>
        <v>6.6312997347480103</v>
      </c>
      <c r="M103" s="4">
        <f t="shared" si="11"/>
        <v>48400</v>
      </c>
      <c r="N103" s="4"/>
      <c r="O103" s="8"/>
      <c r="P103">
        <v>102</v>
      </c>
      <c r="Q103" s="1">
        <v>580000000</v>
      </c>
      <c r="R103" s="4">
        <v>48400</v>
      </c>
      <c r="S103">
        <f>ROUND(1.02^A103,2)</f>
        <v>7.54</v>
      </c>
      <c r="T103" t="str">
        <f t="shared" si="10"/>
        <v>102,580000000,48400,7,54</v>
      </c>
    </row>
    <row r="104" spans="1:20" x14ac:dyDescent="0.25">
      <c r="A104">
        <f t="shared" si="19"/>
        <v>103</v>
      </c>
      <c r="B104" s="1">
        <v>630000000</v>
      </c>
      <c r="C104" s="1">
        <v>50000000</v>
      </c>
      <c r="E104" s="1">
        <f>+S104*10000</f>
        <v>76900</v>
      </c>
      <c r="F104" s="1">
        <f t="shared" si="12"/>
        <v>650.19505851755525</v>
      </c>
      <c r="G104" s="1">
        <f t="shared" si="13"/>
        <v>325.09752925877763</v>
      </c>
      <c r="H104" s="1">
        <f t="shared" si="14"/>
        <v>130.03901170351105</v>
      </c>
      <c r="I104" s="1">
        <f t="shared" si="15"/>
        <v>65.019505851755525</v>
      </c>
      <c r="J104" s="1">
        <f t="shared" si="16"/>
        <v>43.346337234503686</v>
      </c>
      <c r="K104" s="1">
        <f t="shared" si="17"/>
        <v>21.673168617251843</v>
      </c>
      <c r="L104" s="1">
        <f t="shared" si="18"/>
        <v>6.5019505851755524</v>
      </c>
      <c r="M104" s="4">
        <f t="shared" si="11"/>
        <v>49400</v>
      </c>
      <c r="N104" s="4"/>
      <c r="O104" s="8"/>
      <c r="P104">
        <v>103</v>
      </c>
      <c r="Q104" s="1">
        <v>630000000</v>
      </c>
      <c r="R104" s="4">
        <v>49400</v>
      </c>
      <c r="S104">
        <f>ROUND(1.02^A104,2)</f>
        <v>7.69</v>
      </c>
      <c r="T104" t="str">
        <f t="shared" si="10"/>
        <v>103,630000000,49400,7,69</v>
      </c>
    </row>
    <row r="105" spans="1:20" x14ac:dyDescent="0.25">
      <c r="A105">
        <f t="shared" si="19"/>
        <v>104</v>
      </c>
      <c r="B105" s="1">
        <v>680000000</v>
      </c>
      <c r="C105" s="1">
        <v>50000000</v>
      </c>
      <c r="E105" s="1">
        <f>+S105*10000</f>
        <v>78400</v>
      </c>
      <c r="F105" s="1">
        <f t="shared" si="12"/>
        <v>765.30612244897964</v>
      </c>
      <c r="G105" s="1">
        <f t="shared" si="13"/>
        <v>382.65306122448982</v>
      </c>
      <c r="H105" s="1">
        <f t="shared" si="14"/>
        <v>153.0612244897959</v>
      </c>
      <c r="I105" s="1">
        <f t="shared" si="15"/>
        <v>76.530612244897952</v>
      </c>
      <c r="J105" s="1">
        <f t="shared" si="16"/>
        <v>51.020408163265309</v>
      </c>
      <c r="K105" s="1">
        <f t="shared" si="17"/>
        <v>25.510204081632654</v>
      </c>
      <c r="L105" s="1">
        <f t="shared" si="18"/>
        <v>7.6530612244897958</v>
      </c>
      <c r="M105" s="4">
        <f t="shared" si="11"/>
        <v>50400</v>
      </c>
      <c r="N105" s="4"/>
      <c r="O105" s="8"/>
      <c r="P105">
        <v>104</v>
      </c>
      <c r="Q105" s="1">
        <v>680000000</v>
      </c>
      <c r="R105" s="4">
        <v>50400</v>
      </c>
      <c r="S105">
        <f>ROUND(1.02^A105,2)</f>
        <v>7.84</v>
      </c>
      <c r="T105" t="str">
        <f t="shared" si="10"/>
        <v>104,680000000,50400,7,84</v>
      </c>
    </row>
    <row r="106" spans="1:20" x14ac:dyDescent="0.25">
      <c r="A106">
        <f t="shared" si="19"/>
        <v>105</v>
      </c>
      <c r="B106" s="1">
        <v>740000000</v>
      </c>
      <c r="C106" s="1">
        <v>60000000</v>
      </c>
      <c r="E106" s="1">
        <f>+S106*10000</f>
        <v>80000</v>
      </c>
      <c r="F106" s="1">
        <f t="shared" si="12"/>
        <v>750</v>
      </c>
      <c r="G106" s="1">
        <f t="shared" si="13"/>
        <v>375</v>
      </c>
      <c r="H106" s="1">
        <f t="shared" si="14"/>
        <v>150</v>
      </c>
      <c r="I106" s="1">
        <f t="shared" si="15"/>
        <v>75</v>
      </c>
      <c r="J106" s="1">
        <f t="shared" si="16"/>
        <v>50</v>
      </c>
      <c r="K106" s="1">
        <f t="shared" si="17"/>
        <v>25</v>
      </c>
      <c r="L106" s="1">
        <f t="shared" si="18"/>
        <v>7.5</v>
      </c>
      <c r="M106" s="4">
        <f t="shared" si="11"/>
        <v>51400</v>
      </c>
      <c r="N106" s="4"/>
      <c r="O106" s="8"/>
      <c r="P106">
        <v>105</v>
      </c>
      <c r="Q106" s="1">
        <v>740000000</v>
      </c>
      <c r="R106" s="4">
        <v>51400</v>
      </c>
      <c r="S106">
        <f>ROUND(1.02^A106,2)</f>
        <v>8</v>
      </c>
      <c r="T106" t="str">
        <f t="shared" si="10"/>
        <v>105,740000000,51400,8</v>
      </c>
    </row>
    <row r="107" spans="1:20" x14ac:dyDescent="0.25">
      <c r="A107">
        <f t="shared" si="19"/>
        <v>106</v>
      </c>
      <c r="B107" s="1">
        <v>800000000</v>
      </c>
      <c r="C107" s="1">
        <v>60000000</v>
      </c>
      <c r="E107" s="1">
        <f>+S107*10000</f>
        <v>81600</v>
      </c>
      <c r="F107" s="1">
        <f t="shared" si="12"/>
        <v>735.29411764705878</v>
      </c>
      <c r="G107" s="1">
        <f t="shared" si="13"/>
        <v>367.64705882352939</v>
      </c>
      <c r="H107" s="1">
        <f t="shared" si="14"/>
        <v>147.05882352941177</v>
      </c>
      <c r="I107" s="1">
        <f t="shared" si="15"/>
        <v>73.529411764705884</v>
      </c>
      <c r="J107" s="1">
        <f t="shared" si="16"/>
        <v>49.019607843137258</v>
      </c>
      <c r="K107" s="1">
        <f t="shared" si="17"/>
        <v>24.509803921568629</v>
      </c>
      <c r="L107" s="1">
        <f t="shared" si="18"/>
        <v>7.3529411764705879</v>
      </c>
      <c r="M107" s="4">
        <f t="shared" si="11"/>
        <v>52400</v>
      </c>
      <c r="N107" s="4"/>
      <c r="O107" s="8"/>
      <c r="P107">
        <v>106</v>
      </c>
      <c r="Q107" s="1">
        <v>800000000</v>
      </c>
      <c r="R107" s="4">
        <v>52400</v>
      </c>
      <c r="S107">
        <f>ROUND(1.02^A107,2)</f>
        <v>8.16</v>
      </c>
      <c r="T107" t="str">
        <f t="shared" si="10"/>
        <v>106,800000000,52400,8,16</v>
      </c>
    </row>
    <row r="108" spans="1:20" x14ac:dyDescent="0.25">
      <c r="A108">
        <f t="shared" si="19"/>
        <v>107</v>
      </c>
      <c r="B108" s="1">
        <v>860000000</v>
      </c>
      <c r="C108" s="1">
        <v>60000000</v>
      </c>
      <c r="E108" s="1">
        <f>+S108*10000</f>
        <v>83200</v>
      </c>
      <c r="F108" s="1">
        <f t="shared" si="12"/>
        <v>841.34615384615381</v>
      </c>
      <c r="G108" s="1">
        <f t="shared" si="13"/>
        <v>420.67307692307691</v>
      </c>
      <c r="H108" s="1">
        <f t="shared" si="14"/>
        <v>168.26923076923077</v>
      </c>
      <c r="I108" s="1">
        <f t="shared" si="15"/>
        <v>84.134615384615387</v>
      </c>
      <c r="J108" s="1">
        <f t="shared" si="16"/>
        <v>56.089743589743591</v>
      </c>
      <c r="K108" s="1">
        <f t="shared" si="17"/>
        <v>28.044871794871796</v>
      </c>
      <c r="L108" s="1">
        <f t="shared" si="18"/>
        <v>8.4134615384615383</v>
      </c>
      <c r="M108" s="4">
        <f t="shared" si="11"/>
        <v>53500</v>
      </c>
      <c r="N108" s="4"/>
      <c r="O108" s="8"/>
      <c r="P108">
        <v>107</v>
      </c>
      <c r="Q108" s="1">
        <v>860000000</v>
      </c>
      <c r="R108" s="4">
        <v>53500</v>
      </c>
      <c r="S108">
        <f>ROUND(1.02^A108,2)</f>
        <v>8.32</v>
      </c>
      <c r="T108" t="str">
        <f t="shared" si="10"/>
        <v>107,860000000,53500,8,32</v>
      </c>
    </row>
    <row r="109" spans="1:20" x14ac:dyDescent="0.25">
      <c r="A109">
        <f t="shared" si="19"/>
        <v>108</v>
      </c>
      <c r="B109" s="1">
        <v>930000000</v>
      </c>
      <c r="C109" s="1">
        <v>70000000</v>
      </c>
      <c r="E109" s="1">
        <f>+S109*10000</f>
        <v>84900</v>
      </c>
      <c r="F109" s="1">
        <f t="shared" si="12"/>
        <v>942.28504122497054</v>
      </c>
      <c r="G109" s="1">
        <f t="shared" si="13"/>
        <v>471.14252061248527</v>
      </c>
      <c r="H109" s="1">
        <f t="shared" si="14"/>
        <v>188.45700824499411</v>
      </c>
      <c r="I109" s="1">
        <f t="shared" si="15"/>
        <v>94.228504122497057</v>
      </c>
      <c r="J109" s="1">
        <f t="shared" si="16"/>
        <v>62.819002748331371</v>
      </c>
      <c r="K109" s="1">
        <f t="shared" si="17"/>
        <v>31.409501374165686</v>
      </c>
      <c r="L109" s="1">
        <f t="shared" si="18"/>
        <v>9.422850412249705</v>
      </c>
      <c r="M109" s="4">
        <f t="shared" si="11"/>
        <v>54600</v>
      </c>
      <c r="N109" s="4"/>
      <c r="O109" s="8"/>
      <c r="P109">
        <v>108</v>
      </c>
      <c r="Q109" s="1">
        <v>930000000</v>
      </c>
      <c r="R109" s="4">
        <v>54600</v>
      </c>
      <c r="S109">
        <f>ROUND(1.02^A109,2)</f>
        <v>8.49</v>
      </c>
      <c r="T109" t="str">
        <f t="shared" si="10"/>
        <v>108,930000000,54600,8,49</v>
      </c>
    </row>
    <row r="110" spans="1:20" x14ac:dyDescent="0.25">
      <c r="A110">
        <f t="shared" si="19"/>
        <v>109</v>
      </c>
      <c r="B110" s="1">
        <v>1010000000</v>
      </c>
      <c r="C110" s="1">
        <v>80000000</v>
      </c>
      <c r="E110" s="1">
        <f>+S110*10000</f>
        <v>86600</v>
      </c>
      <c r="F110" s="1">
        <f t="shared" si="12"/>
        <v>923.78752886836025</v>
      </c>
      <c r="G110" s="1">
        <f t="shared" si="13"/>
        <v>461.89376443418013</v>
      </c>
      <c r="H110" s="1">
        <f t="shared" si="14"/>
        <v>184.75750577367205</v>
      </c>
      <c r="I110" s="1">
        <f t="shared" si="15"/>
        <v>92.378752886836025</v>
      </c>
      <c r="J110" s="1">
        <f t="shared" si="16"/>
        <v>61.585835257890686</v>
      </c>
      <c r="K110" s="1">
        <f t="shared" si="17"/>
        <v>30.792917628945343</v>
      </c>
      <c r="L110" s="1">
        <f t="shared" si="18"/>
        <v>9.2378752886836022</v>
      </c>
      <c r="M110" s="4">
        <f t="shared" si="11"/>
        <v>55600</v>
      </c>
      <c r="N110" s="4"/>
      <c r="O110" s="8"/>
      <c r="P110">
        <v>109</v>
      </c>
      <c r="Q110" s="1">
        <v>1010000000</v>
      </c>
      <c r="R110" s="4">
        <v>55600</v>
      </c>
      <c r="S110">
        <f>ROUND(1.02^A110,2)</f>
        <v>8.66</v>
      </c>
      <c r="T110" t="str">
        <f t="shared" si="10"/>
        <v>109,1010000000,55600,8,66</v>
      </c>
    </row>
    <row r="111" spans="1:20" x14ac:dyDescent="0.25">
      <c r="A111">
        <f t="shared" si="19"/>
        <v>110</v>
      </c>
      <c r="B111" s="1">
        <v>1090000000</v>
      </c>
      <c r="C111" s="1">
        <v>80000000</v>
      </c>
      <c r="E111" s="1">
        <f>+S111*10000</f>
        <v>88300</v>
      </c>
      <c r="F111" s="1">
        <f t="shared" si="12"/>
        <v>1019.2525481313703</v>
      </c>
      <c r="G111" s="1">
        <f t="shared" si="13"/>
        <v>509.62627406568515</v>
      </c>
      <c r="H111" s="1">
        <f t="shared" si="14"/>
        <v>203.85050962627406</v>
      </c>
      <c r="I111" s="1">
        <f t="shared" si="15"/>
        <v>101.92525481313703</v>
      </c>
      <c r="J111" s="1">
        <f t="shared" si="16"/>
        <v>67.950169875424692</v>
      </c>
      <c r="K111" s="1">
        <f t="shared" si="17"/>
        <v>33.975084937712346</v>
      </c>
      <c r="L111" s="1">
        <f t="shared" si="18"/>
        <v>10.192525481313703</v>
      </c>
      <c r="M111" s="4">
        <f t="shared" si="11"/>
        <v>56800</v>
      </c>
      <c r="N111" s="4"/>
      <c r="O111" s="8"/>
      <c r="P111">
        <v>110</v>
      </c>
      <c r="Q111" s="1">
        <v>1090000000</v>
      </c>
      <c r="R111" s="4">
        <v>56800</v>
      </c>
      <c r="S111">
        <f>ROUND(1.02^A111,2)</f>
        <v>8.83</v>
      </c>
      <c r="T111" t="str">
        <f t="shared" si="10"/>
        <v>110,1090000000,56800,8,83</v>
      </c>
    </row>
    <row r="112" spans="1:20" x14ac:dyDescent="0.25">
      <c r="A112">
        <f t="shared" si="19"/>
        <v>111</v>
      </c>
      <c r="B112" s="1">
        <v>1180000000</v>
      </c>
      <c r="C112" s="1">
        <v>90000000</v>
      </c>
      <c r="E112" s="1">
        <f>+S112*10000</f>
        <v>90100</v>
      </c>
      <c r="F112" s="1">
        <f t="shared" si="12"/>
        <v>998.8901220865705</v>
      </c>
      <c r="G112" s="1">
        <f t="shared" si="13"/>
        <v>499.44506104328525</v>
      </c>
      <c r="H112" s="1">
        <f t="shared" si="14"/>
        <v>199.7780244173141</v>
      </c>
      <c r="I112" s="1">
        <f t="shared" si="15"/>
        <v>99.88901220865705</v>
      </c>
      <c r="J112" s="1">
        <f t="shared" si="16"/>
        <v>66.592674805771367</v>
      </c>
      <c r="K112" s="1">
        <f t="shared" si="17"/>
        <v>33.296337402885683</v>
      </c>
      <c r="L112" s="1">
        <f t="shared" si="18"/>
        <v>9.9889012208657046</v>
      </c>
      <c r="M112" s="4">
        <f t="shared" si="11"/>
        <v>57900</v>
      </c>
      <c r="N112" s="4"/>
      <c r="O112" s="8"/>
      <c r="P112">
        <v>111</v>
      </c>
      <c r="Q112" s="1">
        <v>1180000000</v>
      </c>
      <c r="R112" s="4">
        <v>57900</v>
      </c>
      <c r="S112">
        <f>ROUND(1.02^A112,2)</f>
        <v>9.01</v>
      </c>
      <c r="T112" t="str">
        <f t="shared" si="10"/>
        <v>111,1180000000,57900,9,01</v>
      </c>
    </row>
    <row r="113" spans="1:20" x14ac:dyDescent="0.25">
      <c r="A113">
        <f t="shared" si="19"/>
        <v>112</v>
      </c>
      <c r="B113" s="1">
        <v>1270000000</v>
      </c>
      <c r="C113" s="1">
        <v>90000000</v>
      </c>
      <c r="E113" s="1">
        <f>+S113*10000</f>
        <v>91900</v>
      </c>
      <c r="F113" s="1">
        <f t="shared" si="12"/>
        <v>1088.139281828074</v>
      </c>
      <c r="G113" s="1">
        <f t="shared" si="13"/>
        <v>544.069640914037</v>
      </c>
      <c r="H113" s="1">
        <f t="shared" si="14"/>
        <v>217.6278563656148</v>
      </c>
      <c r="I113" s="1">
        <f t="shared" si="15"/>
        <v>108.8139281828074</v>
      </c>
      <c r="J113" s="1">
        <f t="shared" si="16"/>
        <v>72.542618788538263</v>
      </c>
      <c r="K113" s="1">
        <f t="shared" si="17"/>
        <v>36.271309394269132</v>
      </c>
      <c r="L113" s="1">
        <f t="shared" si="18"/>
        <v>10.881392818280739</v>
      </c>
      <c r="M113" s="4">
        <f t="shared" si="11"/>
        <v>59000</v>
      </c>
      <c r="N113" s="4"/>
      <c r="O113" s="8"/>
      <c r="P113">
        <v>112</v>
      </c>
      <c r="Q113" s="1">
        <v>1270000000</v>
      </c>
      <c r="R113" s="4">
        <v>59000</v>
      </c>
      <c r="S113">
        <f>ROUND(1.02^A113,2)</f>
        <v>9.19</v>
      </c>
      <c r="T113" t="str">
        <f t="shared" si="10"/>
        <v>112,1270000000,59000,9,19</v>
      </c>
    </row>
    <row r="114" spans="1:20" x14ac:dyDescent="0.25">
      <c r="A114">
        <f t="shared" si="19"/>
        <v>113</v>
      </c>
      <c r="B114" s="1">
        <v>1370000000</v>
      </c>
      <c r="C114" s="1">
        <v>100000000</v>
      </c>
      <c r="E114" s="1">
        <f>+S114*10000</f>
        <v>93699.999999999985</v>
      </c>
      <c r="F114" s="1">
        <f t="shared" si="12"/>
        <v>1067.2358591248667</v>
      </c>
      <c r="G114" s="1">
        <f t="shared" si="13"/>
        <v>533.61792956243335</v>
      </c>
      <c r="H114" s="1">
        <f t="shared" si="14"/>
        <v>213.44717182497334</v>
      </c>
      <c r="I114" s="1">
        <f t="shared" si="15"/>
        <v>106.72358591248667</v>
      </c>
      <c r="J114" s="1">
        <f t="shared" si="16"/>
        <v>71.149057274991122</v>
      </c>
      <c r="K114" s="1">
        <f t="shared" si="17"/>
        <v>35.574528637495561</v>
      </c>
      <c r="L114" s="1">
        <f t="shared" si="18"/>
        <v>10.672358591248669</v>
      </c>
      <c r="M114" s="4">
        <f t="shared" si="11"/>
        <v>60200</v>
      </c>
      <c r="N114" s="4"/>
      <c r="O114" s="8"/>
      <c r="P114">
        <v>113</v>
      </c>
      <c r="Q114" s="1">
        <v>1370000000</v>
      </c>
      <c r="R114" s="4">
        <v>60200</v>
      </c>
      <c r="S114">
        <f>ROUND(1.02^A114,2)</f>
        <v>9.3699999999999992</v>
      </c>
      <c r="T114" t="str">
        <f t="shared" si="10"/>
        <v>113,1370000000,60200,9,37</v>
      </c>
    </row>
    <row r="115" spans="1:20" x14ac:dyDescent="0.25">
      <c r="A115">
        <f t="shared" si="19"/>
        <v>114</v>
      </c>
      <c r="B115" s="1">
        <v>1470000000</v>
      </c>
      <c r="C115" s="1">
        <v>100000000</v>
      </c>
      <c r="E115" s="1">
        <f>+S115*10000</f>
        <v>95600</v>
      </c>
      <c r="F115" s="1">
        <f t="shared" si="12"/>
        <v>1046.0251046025105</v>
      </c>
      <c r="G115" s="1">
        <f t="shared" si="13"/>
        <v>523.01255230125525</v>
      </c>
      <c r="H115" s="1">
        <f t="shared" si="14"/>
        <v>209.20502092050208</v>
      </c>
      <c r="I115" s="1">
        <f t="shared" si="15"/>
        <v>104.60251046025104</v>
      </c>
      <c r="J115" s="1">
        <f t="shared" si="16"/>
        <v>69.735006973500703</v>
      </c>
      <c r="K115" s="1">
        <f t="shared" si="17"/>
        <v>34.867503486750351</v>
      </c>
      <c r="L115" s="1">
        <f t="shared" si="18"/>
        <v>10.460251046025105</v>
      </c>
      <c r="M115" s="4">
        <f t="shared" si="11"/>
        <v>61400</v>
      </c>
      <c r="N115" s="4"/>
      <c r="O115" s="8"/>
      <c r="P115">
        <v>114</v>
      </c>
      <c r="Q115" s="1">
        <v>1470000000</v>
      </c>
      <c r="R115" s="4">
        <v>61400</v>
      </c>
      <c r="S115">
        <f>ROUND(1.02^A115,2)</f>
        <v>9.56</v>
      </c>
      <c r="T115" t="str">
        <f t="shared" si="10"/>
        <v>114,1470000000,61400,9,56</v>
      </c>
    </row>
    <row r="116" spans="1:20" x14ac:dyDescent="0.25">
      <c r="A116">
        <f t="shared" si="19"/>
        <v>115</v>
      </c>
      <c r="B116" s="1">
        <v>1570000000</v>
      </c>
      <c r="C116" s="1">
        <v>100000000</v>
      </c>
      <c r="E116" s="1">
        <f>+S116*10000</f>
        <v>97500</v>
      </c>
      <c r="F116" s="1">
        <f t="shared" si="12"/>
        <v>1025.6410256410256</v>
      </c>
      <c r="G116" s="1">
        <f t="shared" si="13"/>
        <v>512.82051282051282</v>
      </c>
      <c r="H116" s="1">
        <f t="shared" si="14"/>
        <v>205.12820512820514</v>
      </c>
      <c r="I116" s="1">
        <f t="shared" si="15"/>
        <v>102.56410256410257</v>
      </c>
      <c r="J116" s="1">
        <f t="shared" si="16"/>
        <v>68.376068376068375</v>
      </c>
      <c r="K116" s="1">
        <f t="shared" si="17"/>
        <v>34.188034188034187</v>
      </c>
      <c r="L116" s="1">
        <f t="shared" si="18"/>
        <v>10.256410256410257</v>
      </c>
      <c r="M116" s="4">
        <f t="shared" si="11"/>
        <v>62700</v>
      </c>
      <c r="N116" s="4"/>
      <c r="O116" s="8"/>
      <c r="P116">
        <v>115</v>
      </c>
      <c r="Q116" s="1">
        <v>1570000000</v>
      </c>
      <c r="R116" s="4">
        <v>62700</v>
      </c>
      <c r="S116">
        <f>ROUND(1.02^A116,2)</f>
        <v>9.75</v>
      </c>
      <c r="T116" t="str">
        <f t="shared" si="10"/>
        <v>115,1570000000,62700,9,75</v>
      </c>
    </row>
    <row r="117" spans="1:20" x14ac:dyDescent="0.25">
      <c r="A117">
        <f t="shared" si="19"/>
        <v>116</v>
      </c>
      <c r="B117" s="1">
        <v>1670000000</v>
      </c>
      <c r="C117" s="1">
        <v>100000000</v>
      </c>
      <c r="E117" s="1">
        <f>+S117*10000</f>
        <v>99500</v>
      </c>
      <c r="F117" s="1">
        <f t="shared" si="12"/>
        <v>1306.532663316583</v>
      </c>
      <c r="G117" s="1">
        <f t="shared" si="13"/>
        <v>653.26633165829151</v>
      </c>
      <c r="H117" s="1">
        <f t="shared" si="14"/>
        <v>261.3065326633166</v>
      </c>
      <c r="I117" s="1">
        <f t="shared" si="15"/>
        <v>130.6532663316583</v>
      </c>
      <c r="J117" s="1">
        <f t="shared" si="16"/>
        <v>87.102177554438867</v>
      </c>
      <c r="K117" s="1">
        <f t="shared" si="17"/>
        <v>43.551088777219434</v>
      </c>
      <c r="L117" s="1">
        <f t="shared" si="18"/>
        <v>13.06532663316583</v>
      </c>
      <c r="M117" s="4">
        <f t="shared" si="11"/>
        <v>65000</v>
      </c>
      <c r="N117" s="4"/>
      <c r="O117" s="8"/>
      <c r="P117">
        <v>116</v>
      </c>
      <c r="Q117" s="1">
        <v>1670000000</v>
      </c>
      <c r="R117" s="4">
        <v>65000</v>
      </c>
      <c r="S117">
        <f>ROUND(1.02^A117,2)</f>
        <v>9.9499999999999993</v>
      </c>
      <c r="T117" t="str">
        <f t="shared" si="10"/>
        <v>116,1670000000,65000,9,95</v>
      </c>
    </row>
    <row r="118" spans="1:20" x14ac:dyDescent="0.25">
      <c r="A118">
        <f t="shared" si="19"/>
        <v>117</v>
      </c>
      <c r="B118" s="1">
        <v>1800000000</v>
      </c>
      <c r="C118" s="1">
        <v>130000000</v>
      </c>
      <c r="E118" s="1">
        <f>+S118*10000</f>
        <v>101400</v>
      </c>
      <c r="F118" s="1">
        <f t="shared" si="12"/>
        <v>1972.3865877712033</v>
      </c>
      <c r="G118" s="1">
        <f t="shared" si="13"/>
        <v>986.19329388560163</v>
      </c>
      <c r="H118" s="1">
        <f t="shared" si="14"/>
        <v>394.47731755424064</v>
      </c>
      <c r="I118" s="1">
        <f t="shared" si="15"/>
        <v>197.23865877712032</v>
      </c>
      <c r="J118" s="1">
        <f t="shared" si="16"/>
        <v>131.49243918474687</v>
      </c>
      <c r="K118" s="1">
        <f t="shared" si="17"/>
        <v>65.746219592373436</v>
      </c>
      <c r="L118" s="1">
        <f t="shared" si="18"/>
        <v>19.723865877712033</v>
      </c>
      <c r="M118" s="4">
        <f t="shared" si="11"/>
        <v>100000</v>
      </c>
      <c r="N118" s="4"/>
      <c r="O118" s="8"/>
      <c r="P118">
        <v>117</v>
      </c>
      <c r="Q118" s="1">
        <v>1800000000</v>
      </c>
      <c r="R118" s="4">
        <v>100000</v>
      </c>
      <c r="S118">
        <f>ROUND(1.02^A118,2)</f>
        <v>10.14</v>
      </c>
      <c r="T118" t="str">
        <f t="shared" si="10"/>
        <v>117,1800000000,100000,10,14</v>
      </c>
    </row>
    <row r="119" spans="1:20" x14ac:dyDescent="0.25">
      <c r="A119">
        <f t="shared" si="19"/>
        <v>118</v>
      </c>
      <c r="B119" s="1">
        <v>2000000000</v>
      </c>
      <c r="C119" s="1">
        <v>200000000</v>
      </c>
      <c r="E119" s="1">
        <f>+S119*10000</f>
        <v>103500</v>
      </c>
      <c r="F119" s="1">
        <f t="shared" si="12"/>
        <v>1932.3671497584542</v>
      </c>
      <c r="G119" s="1">
        <f t="shared" si="13"/>
        <v>966.18357487922708</v>
      </c>
      <c r="H119" s="1">
        <f t="shared" si="14"/>
        <v>386.47342995169083</v>
      </c>
      <c r="I119" s="1">
        <f t="shared" si="15"/>
        <v>193.23671497584542</v>
      </c>
      <c r="J119" s="1">
        <f t="shared" si="16"/>
        <v>128.82447665056361</v>
      </c>
      <c r="K119" s="1">
        <f t="shared" si="17"/>
        <v>64.412238325281805</v>
      </c>
      <c r="L119" s="1">
        <f t="shared" si="18"/>
        <v>19.323671497584542</v>
      </c>
      <c r="M119" s="4">
        <f t="shared" si="11"/>
        <v>100000</v>
      </c>
      <c r="N119" s="4"/>
      <c r="O119" s="8"/>
      <c r="P119">
        <v>118</v>
      </c>
      <c r="Q119" s="1">
        <v>2000000000</v>
      </c>
      <c r="R119" s="4">
        <v>100000</v>
      </c>
      <c r="S119">
        <f>ROUND(1.02^A119,2)</f>
        <v>10.35</v>
      </c>
      <c r="T119" t="str">
        <f t="shared" si="10"/>
        <v>118,2000000000,100000,10,35</v>
      </c>
    </row>
    <row r="120" spans="1:20" x14ac:dyDescent="0.25">
      <c r="A120">
        <f t="shared" si="19"/>
        <v>119</v>
      </c>
      <c r="B120" s="1">
        <v>2200000000</v>
      </c>
      <c r="C120" s="1">
        <v>200000000</v>
      </c>
      <c r="E120" s="1">
        <f>+S120*10000</f>
        <v>105500</v>
      </c>
      <c r="F120" s="1">
        <f t="shared" si="12"/>
        <v>1895.7345971563982</v>
      </c>
      <c r="G120" s="1">
        <f t="shared" si="13"/>
        <v>947.8672985781991</v>
      </c>
      <c r="H120" s="1">
        <f t="shared" si="14"/>
        <v>379.14691943127963</v>
      </c>
      <c r="I120" s="1">
        <f t="shared" si="15"/>
        <v>189.57345971563981</v>
      </c>
      <c r="J120" s="1">
        <f t="shared" si="16"/>
        <v>126.38230647709321</v>
      </c>
      <c r="K120" s="1">
        <f t="shared" si="17"/>
        <v>63.191153238546605</v>
      </c>
      <c r="L120" s="1">
        <f t="shared" si="18"/>
        <v>18.957345971563981</v>
      </c>
      <c r="M120" s="4">
        <f t="shared" si="11"/>
        <v>100000</v>
      </c>
      <c r="N120" s="4"/>
      <c r="O120" s="8"/>
      <c r="P120">
        <v>119</v>
      </c>
      <c r="Q120" s="1">
        <v>2200000000</v>
      </c>
      <c r="R120" s="4">
        <v>100000</v>
      </c>
      <c r="S120">
        <f>ROUND(1.02^A120,2)</f>
        <v>10.55</v>
      </c>
      <c r="T120" t="str">
        <f t="shared" si="10"/>
        <v>119,2200000000,100000,10,55</v>
      </c>
    </row>
    <row r="121" spans="1:20" x14ac:dyDescent="0.25">
      <c r="A121">
        <f t="shared" si="19"/>
        <v>120</v>
      </c>
      <c r="B121" s="1">
        <v>2400000000</v>
      </c>
      <c r="C121" s="1">
        <v>200000000</v>
      </c>
      <c r="E121" s="1">
        <f>+S121*10000</f>
        <v>107700</v>
      </c>
      <c r="F121" s="1">
        <f t="shared" si="12"/>
        <v>1857.0102135561744</v>
      </c>
      <c r="G121" s="1">
        <f t="shared" si="13"/>
        <v>928.50510677808722</v>
      </c>
      <c r="H121" s="1">
        <f t="shared" si="14"/>
        <v>371.40204271123491</v>
      </c>
      <c r="I121" s="1">
        <f t="shared" si="15"/>
        <v>185.70102135561746</v>
      </c>
      <c r="J121" s="1">
        <f t="shared" si="16"/>
        <v>123.80068090374498</v>
      </c>
      <c r="K121" s="1">
        <f t="shared" si="17"/>
        <v>61.900340451872488</v>
      </c>
      <c r="L121" s="1">
        <f t="shared" si="18"/>
        <v>18.570102135561747</v>
      </c>
      <c r="M121" s="4">
        <f t="shared" si="11"/>
        <v>100000</v>
      </c>
      <c r="N121" s="4"/>
      <c r="O121" s="8"/>
      <c r="P121">
        <v>120</v>
      </c>
      <c r="Q121" s="1">
        <v>2400000000</v>
      </c>
      <c r="R121" s="4">
        <v>100000</v>
      </c>
      <c r="S121">
        <f>ROUND(1.02^A121,2)</f>
        <v>10.77</v>
      </c>
      <c r="T121" t="str">
        <f t="shared" si="10"/>
        <v>120,2400000000,100000,10,77</v>
      </c>
    </row>
    <row r="122" spans="1:20" x14ac:dyDescent="0.25">
      <c r="A122">
        <f t="shared" si="19"/>
        <v>121</v>
      </c>
      <c r="B122" s="1">
        <v>2600000000</v>
      </c>
      <c r="C122" s="1">
        <v>200000000</v>
      </c>
      <c r="E122" s="1">
        <f>+S122*10000</f>
        <v>109800</v>
      </c>
      <c r="F122" s="1">
        <f t="shared" si="12"/>
        <v>1821.4936247723133</v>
      </c>
      <c r="G122" s="1">
        <f t="shared" si="13"/>
        <v>910.74681238615665</v>
      </c>
      <c r="H122" s="1">
        <f t="shared" si="14"/>
        <v>364.29872495446267</v>
      </c>
      <c r="I122" s="1">
        <f t="shared" si="15"/>
        <v>182.14936247723134</v>
      </c>
      <c r="J122" s="1">
        <f t="shared" si="16"/>
        <v>121.43290831815422</v>
      </c>
      <c r="K122" s="1">
        <f t="shared" si="17"/>
        <v>60.716454159077109</v>
      </c>
      <c r="L122" s="1">
        <f t="shared" si="18"/>
        <v>18.214936247723134</v>
      </c>
      <c r="M122" s="4">
        <f t="shared" si="11"/>
        <v>100000</v>
      </c>
      <c r="N122" s="4"/>
      <c r="O122" s="8"/>
      <c r="P122">
        <v>121</v>
      </c>
      <c r="Q122" s="1">
        <v>2600000000</v>
      </c>
      <c r="R122" s="4">
        <v>100000</v>
      </c>
      <c r="S122">
        <f>ROUND(1.02^A122,2)</f>
        <v>10.98</v>
      </c>
      <c r="T122" t="str">
        <f t="shared" si="10"/>
        <v>121,2600000000,100000,10,98</v>
      </c>
    </row>
    <row r="123" spans="1:20" x14ac:dyDescent="0.25">
      <c r="A123">
        <f t="shared" si="19"/>
        <v>122</v>
      </c>
      <c r="B123" s="1">
        <v>2800000000</v>
      </c>
      <c r="C123" s="1">
        <v>200000000</v>
      </c>
      <c r="E123" s="1">
        <f>+S123*10000</f>
        <v>112000</v>
      </c>
      <c r="F123" s="1">
        <f t="shared" si="12"/>
        <v>1785.7142857142858</v>
      </c>
      <c r="G123" s="1">
        <f t="shared" si="13"/>
        <v>892.85714285714289</v>
      </c>
      <c r="H123" s="1">
        <f t="shared" si="14"/>
        <v>357.14285714285717</v>
      </c>
      <c r="I123" s="1">
        <f t="shared" si="15"/>
        <v>178.57142857142858</v>
      </c>
      <c r="J123" s="1">
        <f t="shared" si="16"/>
        <v>119.04761904761905</v>
      </c>
      <c r="K123" s="1">
        <f t="shared" si="17"/>
        <v>59.523809523809526</v>
      </c>
      <c r="L123" s="1">
        <f t="shared" si="18"/>
        <v>17.857142857142858</v>
      </c>
      <c r="M123" s="4">
        <f t="shared" si="11"/>
        <v>100000</v>
      </c>
      <c r="N123" s="4"/>
      <c r="O123" s="8"/>
      <c r="P123">
        <v>122</v>
      </c>
      <c r="Q123" s="1">
        <v>2800000000</v>
      </c>
      <c r="R123" s="4">
        <v>100000</v>
      </c>
      <c r="S123">
        <f>ROUND(1.02^A123,2)</f>
        <v>11.2</v>
      </c>
      <c r="T123" t="str">
        <f t="shared" si="10"/>
        <v>122,2800000000,100000,11,2</v>
      </c>
    </row>
    <row r="124" spans="1:20" x14ac:dyDescent="0.25">
      <c r="A124">
        <f t="shared" si="19"/>
        <v>123</v>
      </c>
      <c r="B124" s="1">
        <v>3000000000</v>
      </c>
      <c r="C124" s="1">
        <v>200000000</v>
      </c>
      <c r="E124" s="1">
        <f>+S124*10000</f>
        <v>114200</v>
      </c>
      <c r="F124" s="1">
        <f t="shared" si="12"/>
        <v>1751.3134851138354</v>
      </c>
      <c r="G124" s="1">
        <f t="shared" si="13"/>
        <v>875.65674255691772</v>
      </c>
      <c r="H124" s="1">
        <f t="shared" si="14"/>
        <v>350.2626970227671</v>
      </c>
      <c r="I124" s="1">
        <f t="shared" si="15"/>
        <v>175.13134851138355</v>
      </c>
      <c r="J124" s="1">
        <f t="shared" si="16"/>
        <v>116.75423234092236</v>
      </c>
      <c r="K124" s="1">
        <f t="shared" si="17"/>
        <v>58.377116170461179</v>
      </c>
      <c r="L124" s="1">
        <f t="shared" si="18"/>
        <v>17.513134851138354</v>
      </c>
      <c r="M124" s="4">
        <f t="shared" si="11"/>
        <v>100000</v>
      </c>
      <c r="N124" s="4"/>
      <c r="O124" s="8"/>
      <c r="P124">
        <v>123</v>
      </c>
      <c r="Q124" s="1">
        <v>3000000000</v>
      </c>
      <c r="R124" s="4">
        <v>100000</v>
      </c>
      <c r="S124">
        <f>ROUND(1.02^A124,2)</f>
        <v>11.42</v>
      </c>
      <c r="T124" t="str">
        <f t="shared" si="10"/>
        <v>123,3000000000,100000,11,42</v>
      </c>
    </row>
    <row r="125" spans="1:20" x14ac:dyDescent="0.25">
      <c r="A125">
        <f t="shared" si="19"/>
        <v>124</v>
      </c>
      <c r="B125" s="1">
        <v>3200000000</v>
      </c>
      <c r="C125" s="1">
        <v>200000000</v>
      </c>
      <c r="E125" s="1">
        <f>+S125*10000</f>
        <v>116500</v>
      </c>
      <c r="F125" s="1">
        <f t="shared" si="12"/>
        <v>2575.1072961373388</v>
      </c>
      <c r="G125" s="1">
        <f t="shared" si="13"/>
        <v>1287.5536480686694</v>
      </c>
      <c r="H125" s="1">
        <f t="shared" si="14"/>
        <v>515.02145922746786</v>
      </c>
      <c r="I125" s="1">
        <f t="shared" si="15"/>
        <v>257.51072961373393</v>
      </c>
      <c r="J125" s="1">
        <f t="shared" si="16"/>
        <v>171.67381974248926</v>
      </c>
      <c r="K125" s="1">
        <f t="shared" si="17"/>
        <v>85.836909871244629</v>
      </c>
      <c r="L125" s="1">
        <f t="shared" si="18"/>
        <v>25.751072961373392</v>
      </c>
      <c r="M125" s="4">
        <f t="shared" si="11"/>
        <v>150000</v>
      </c>
      <c r="N125" s="4"/>
      <c r="O125" s="8"/>
      <c r="P125">
        <v>124</v>
      </c>
      <c r="Q125" s="1">
        <v>3200000000</v>
      </c>
      <c r="R125" s="4">
        <v>150000</v>
      </c>
      <c r="S125">
        <f>ROUND(1.02^A125,2)</f>
        <v>11.65</v>
      </c>
      <c r="T125" t="str">
        <f t="shared" si="10"/>
        <v>124,3200000000,150000,11,65</v>
      </c>
    </row>
    <row r="126" spans="1:20" x14ac:dyDescent="0.25">
      <c r="A126">
        <f t="shared" si="19"/>
        <v>125</v>
      </c>
      <c r="B126" s="1">
        <v>3500000000</v>
      </c>
      <c r="C126" s="1">
        <v>300000000</v>
      </c>
      <c r="E126" s="1">
        <f>+S126*10000</f>
        <v>118900</v>
      </c>
      <c r="F126" s="1">
        <f t="shared" si="12"/>
        <v>2523.1286795626579</v>
      </c>
      <c r="G126" s="1">
        <f t="shared" si="13"/>
        <v>1261.564339781329</v>
      </c>
      <c r="H126" s="1">
        <f t="shared" si="14"/>
        <v>504.62573591253152</v>
      </c>
      <c r="I126" s="1">
        <f t="shared" si="15"/>
        <v>252.31286795626576</v>
      </c>
      <c r="J126" s="1">
        <f t="shared" si="16"/>
        <v>168.20857863751053</v>
      </c>
      <c r="K126" s="1">
        <f t="shared" si="17"/>
        <v>84.104289318755264</v>
      </c>
      <c r="L126" s="1">
        <f t="shared" si="18"/>
        <v>25.231286795626577</v>
      </c>
      <c r="M126" s="4">
        <f t="shared" si="11"/>
        <v>150000</v>
      </c>
      <c r="N126" s="4"/>
      <c r="O126" s="8"/>
      <c r="P126">
        <v>125</v>
      </c>
      <c r="Q126" s="1">
        <v>3500000000</v>
      </c>
      <c r="R126" s="4">
        <v>150000</v>
      </c>
      <c r="S126">
        <f>ROUND(1.02^A126,2)</f>
        <v>11.89</v>
      </c>
      <c r="T126" t="str">
        <f t="shared" si="10"/>
        <v>125,3500000000,150000,11,89</v>
      </c>
    </row>
    <row r="127" spans="1:20" x14ac:dyDescent="0.25">
      <c r="A127">
        <f t="shared" si="19"/>
        <v>126</v>
      </c>
      <c r="B127" s="1">
        <v>3800000000</v>
      </c>
      <c r="C127" s="1">
        <v>300000000</v>
      </c>
      <c r="E127" s="1">
        <f>+S127*10000</f>
        <v>121199.99999999999</v>
      </c>
      <c r="F127" s="1">
        <f t="shared" si="12"/>
        <v>2475.2475247524753</v>
      </c>
      <c r="G127" s="1">
        <f t="shared" si="13"/>
        <v>1237.6237623762377</v>
      </c>
      <c r="H127" s="1">
        <f t="shared" si="14"/>
        <v>495.04950495049513</v>
      </c>
      <c r="I127" s="1">
        <f t="shared" si="15"/>
        <v>247.52475247524757</v>
      </c>
      <c r="J127" s="1">
        <f t="shared" si="16"/>
        <v>165.01650165016503</v>
      </c>
      <c r="K127" s="1">
        <f t="shared" si="17"/>
        <v>82.508250825082513</v>
      </c>
      <c r="L127" s="1">
        <f t="shared" si="18"/>
        <v>24.752475247524757</v>
      </c>
      <c r="M127" s="4">
        <f t="shared" si="11"/>
        <v>150000</v>
      </c>
      <c r="N127" s="4"/>
      <c r="O127" s="8"/>
      <c r="P127">
        <v>126</v>
      </c>
      <c r="Q127" s="1">
        <v>3800000000</v>
      </c>
      <c r="R127" s="4">
        <v>150000</v>
      </c>
      <c r="S127">
        <f>ROUND(1.02^A127,2)</f>
        <v>12.12</v>
      </c>
      <c r="T127" t="str">
        <f t="shared" si="10"/>
        <v>126,3800000000,150000,12,12</v>
      </c>
    </row>
    <row r="128" spans="1:20" x14ac:dyDescent="0.25">
      <c r="A128">
        <f t="shared" si="19"/>
        <v>127</v>
      </c>
      <c r="B128" s="1">
        <v>4100000000</v>
      </c>
      <c r="C128" s="1">
        <v>300000000</v>
      </c>
      <c r="E128" s="1">
        <f>+S128*10000</f>
        <v>123699.99999999999</v>
      </c>
      <c r="F128" s="1">
        <f t="shared" si="12"/>
        <v>2425.2223120452709</v>
      </c>
      <c r="G128" s="1">
        <f t="shared" si="13"/>
        <v>1212.6111560226354</v>
      </c>
      <c r="H128" s="1">
        <f t="shared" si="14"/>
        <v>485.04446240905423</v>
      </c>
      <c r="I128" s="1">
        <f t="shared" si="15"/>
        <v>242.52223120452712</v>
      </c>
      <c r="J128" s="1">
        <f t="shared" si="16"/>
        <v>161.68148746968475</v>
      </c>
      <c r="K128" s="1">
        <f t="shared" si="17"/>
        <v>80.840743734842377</v>
      </c>
      <c r="L128" s="1">
        <f t="shared" si="18"/>
        <v>24.252223120452712</v>
      </c>
      <c r="M128" s="4">
        <f t="shared" si="11"/>
        <v>150000</v>
      </c>
      <c r="N128" s="4"/>
      <c r="O128" s="8"/>
      <c r="P128">
        <v>127</v>
      </c>
      <c r="Q128" s="1">
        <v>4100000000</v>
      </c>
      <c r="R128" s="4">
        <v>150000</v>
      </c>
      <c r="S128">
        <f>ROUND(1.02^A128,2)</f>
        <v>12.37</v>
      </c>
      <c r="T128" t="str">
        <f t="shared" si="10"/>
        <v>127,4100000000,150000,12,37</v>
      </c>
    </row>
    <row r="129" spans="1:20" x14ac:dyDescent="0.25">
      <c r="A129">
        <f t="shared" si="19"/>
        <v>128</v>
      </c>
      <c r="B129" s="1">
        <v>4400000000</v>
      </c>
      <c r="C129" s="1">
        <v>300000000</v>
      </c>
      <c r="E129" s="1">
        <f>+S129*10000</f>
        <v>126100</v>
      </c>
      <c r="F129" s="1">
        <f t="shared" si="12"/>
        <v>3172.0856463124505</v>
      </c>
      <c r="G129" s="1">
        <f t="shared" si="13"/>
        <v>1586.0428231562253</v>
      </c>
      <c r="H129" s="1">
        <f t="shared" si="14"/>
        <v>634.41712926249011</v>
      </c>
      <c r="I129" s="1">
        <f t="shared" si="15"/>
        <v>317.20856463124505</v>
      </c>
      <c r="J129" s="1">
        <f t="shared" si="16"/>
        <v>211.47237642083002</v>
      </c>
      <c r="K129" s="1">
        <f t="shared" si="17"/>
        <v>105.73618821041501</v>
      </c>
      <c r="L129" s="1">
        <f t="shared" si="18"/>
        <v>31.720856463124505</v>
      </c>
      <c r="M129" s="4">
        <f t="shared" si="11"/>
        <v>200000</v>
      </c>
      <c r="N129" s="4"/>
      <c r="O129" s="8"/>
      <c r="P129">
        <v>128</v>
      </c>
      <c r="Q129" s="1">
        <v>4400000000</v>
      </c>
      <c r="R129" s="4">
        <v>200000</v>
      </c>
      <c r="S129">
        <f>ROUND(1.02^A129,2)</f>
        <v>12.61</v>
      </c>
      <c r="T129" t="str">
        <f t="shared" si="10"/>
        <v>128,4400000000,200000,12,61</v>
      </c>
    </row>
    <row r="130" spans="1:20" x14ac:dyDescent="0.25">
      <c r="A130">
        <f t="shared" si="19"/>
        <v>129</v>
      </c>
      <c r="B130" s="1">
        <v>4800000000</v>
      </c>
      <c r="C130" s="1">
        <v>400000000</v>
      </c>
      <c r="E130" s="1">
        <f>+S130*10000</f>
        <v>128699.99999999999</v>
      </c>
      <c r="F130" s="1">
        <f t="shared" si="12"/>
        <v>3108.0031080031085</v>
      </c>
      <c r="G130" s="1">
        <f t="shared" si="13"/>
        <v>1554.0015540015543</v>
      </c>
      <c r="H130" s="1">
        <f t="shared" si="14"/>
        <v>621.60062160062171</v>
      </c>
      <c r="I130" s="1">
        <f t="shared" si="15"/>
        <v>310.80031080031085</v>
      </c>
      <c r="J130" s="1">
        <f t="shared" si="16"/>
        <v>207.20020720020722</v>
      </c>
      <c r="K130" s="1">
        <f t="shared" si="17"/>
        <v>103.60010360010361</v>
      </c>
      <c r="L130" s="1">
        <f t="shared" si="18"/>
        <v>31.080031080031084</v>
      </c>
      <c r="M130" s="4">
        <f t="shared" si="11"/>
        <v>200000</v>
      </c>
      <c r="N130" s="4"/>
      <c r="O130" s="8"/>
      <c r="P130">
        <v>129</v>
      </c>
      <c r="Q130" s="1">
        <v>4800000000</v>
      </c>
      <c r="R130" s="4">
        <v>200000</v>
      </c>
      <c r="S130">
        <f>ROUND(1.02^A130,2)</f>
        <v>12.87</v>
      </c>
      <c r="T130" t="str">
        <f t="shared" ref="T130:T193" si="20">P130&amp;","&amp;Q130&amp;","&amp;R130&amp;","&amp;S130</f>
        <v>129,4800000000,200000,12,87</v>
      </c>
    </row>
    <row r="131" spans="1:20" x14ac:dyDescent="0.25">
      <c r="A131">
        <f t="shared" si="19"/>
        <v>130</v>
      </c>
      <c r="B131" s="1">
        <v>5200000000</v>
      </c>
      <c r="C131" s="1">
        <v>400000000</v>
      </c>
      <c r="E131" s="1">
        <f>+S131*10000</f>
        <v>131200</v>
      </c>
      <c r="F131" s="1">
        <f t="shared" si="12"/>
        <v>3048.7804878048782</v>
      </c>
      <c r="G131" s="1">
        <f t="shared" si="13"/>
        <v>1524.3902439024391</v>
      </c>
      <c r="H131" s="1">
        <f t="shared" si="14"/>
        <v>609.7560975609756</v>
      </c>
      <c r="I131" s="1">
        <f t="shared" si="15"/>
        <v>304.8780487804878</v>
      </c>
      <c r="J131" s="1">
        <f t="shared" si="16"/>
        <v>203.2520325203252</v>
      </c>
      <c r="K131" s="1">
        <f t="shared" si="17"/>
        <v>101.6260162601626</v>
      </c>
      <c r="L131" s="1">
        <f t="shared" si="18"/>
        <v>30.487804878048781</v>
      </c>
      <c r="M131" s="4">
        <f t="shared" ref="M131:M194" si="21">ROUND(MAX(E132*6.3*10%,C132*0.05%),-MAX(2,INT(LOG10(MAX(E132*6.3*10%,C132*0.05%)))-2))</f>
        <v>200000</v>
      </c>
      <c r="N131" s="4"/>
      <c r="O131" s="8"/>
      <c r="P131">
        <v>130</v>
      </c>
      <c r="Q131" s="1">
        <v>5200000000</v>
      </c>
      <c r="R131" s="4">
        <v>200000</v>
      </c>
      <c r="S131">
        <f>ROUND(1.02^A131,2)</f>
        <v>13.12</v>
      </c>
      <c r="T131" t="str">
        <f t="shared" si="20"/>
        <v>130,5200000000,200000,13,12</v>
      </c>
    </row>
    <row r="132" spans="1:20" x14ac:dyDescent="0.25">
      <c r="A132">
        <f t="shared" si="19"/>
        <v>131</v>
      </c>
      <c r="B132" s="1">
        <v>5600000000</v>
      </c>
      <c r="C132" s="1">
        <v>400000000</v>
      </c>
      <c r="E132" s="1">
        <f>+S132*10000</f>
        <v>133900</v>
      </c>
      <c r="F132" s="1">
        <f t="shared" ref="F132:F195" si="22">$C133/($E132*1)</f>
        <v>2987.3039581777448</v>
      </c>
      <c r="G132" s="1">
        <f t="shared" ref="G132:G195" si="23">$C133/($E132*2)</f>
        <v>1493.6519790888724</v>
      </c>
      <c r="H132" s="1">
        <f t="shared" ref="H132:H195" si="24">$C133/($E132*5)</f>
        <v>597.46079163554896</v>
      </c>
      <c r="I132" s="1">
        <f t="shared" ref="I132:I195" si="25">$C133/($E132*10)</f>
        <v>298.73039581777448</v>
      </c>
      <c r="J132" s="1">
        <f t="shared" ref="J132:J195" si="26">$C133/($E132*15)</f>
        <v>199.15359721184964</v>
      </c>
      <c r="K132" s="1">
        <f t="shared" ref="K132:K195" si="27">$C133/($E132*30)</f>
        <v>99.576798605924822</v>
      </c>
      <c r="L132" s="1">
        <f t="shared" ref="L132:L195" si="28">$C133/($E132*100)</f>
        <v>29.873039581777444</v>
      </c>
      <c r="M132" s="4">
        <f t="shared" si="21"/>
        <v>200000</v>
      </c>
      <c r="N132" s="4"/>
      <c r="O132" s="8"/>
      <c r="P132">
        <v>131</v>
      </c>
      <c r="Q132" s="1">
        <v>5600000000</v>
      </c>
      <c r="R132" s="4">
        <v>200000</v>
      </c>
      <c r="S132">
        <f>ROUND(1.02^A132,2)</f>
        <v>13.39</v>
      </c>
      <c r="T132" t="str">
        <f t="shared" si="20"/>
        <v>131,5600000000,200000,13,39</v>
      </c>
    </row>
    <row r="133" spans="1:20" x14ac:dyDescent="0.25">
      <c r="A133">
        <f t="shared" ref="A133:A196" si="29">+A132+1</f>
        <v>132</v>
      </c>
      <c r="B133" s="1">
        <v>6000000000</v>
      </c>
      <c r="C133" s="1">
        <v>400000000</v>
      </c>
      <c r="E133" s="1">
        <f>+S133*10000</f>
        <v>136500</v>
      </c>
      <c r="F133" s="1">
        <f t="shared" si="22"/>
        <v>3663.003663003663</v>
      </c>
      <c r="G133" s="1">
        <f t="shared" si="23"/>
        <v>1831.5018315018315</v>
      </c>
      <c r="H133" s="1">
        <f t="shared" si="24"/>
        <v>732.60073260073261</v>
      </c>
      <c r="I133" s="1">
        <f t="shared" si="25"/>
        <v>366.30036630036631</v>
      </c>
      <c r="J133" s="1">
        <f t="shared" si="26"/>
        <v>244.20024420024421</v>
      </c>
      <c r="K133" s="1">
        <f t="shared" si="27"/>
        <v>122.10012210012211</v>
      </c>
      <c r="L133" s="1">
        <f t="shared" si="28"/>
        <v>36.630036630036628</v>
      </c>
      <c r="M133" s="4">
        <f t="shared" si="21"/>
        <v>250000</v>
      </c>
      <c r="N133" s="4"/>
      <c r="O133" s="8"/>
      <c r="P133">
        <v>132</v>
      </c>
      <c r="Q133" s="1">
        <v>6000000000</v>
      </c>
      <c r="R133" s="4">
        <v>250000</v>
      </c>
      <c r="S133">
        <f>ROUND(1.02^A133,2)</f>
        <v>13.65</v>
      </c>
      <c r="T133" t="str">
        <f t="shared" si="20"/>
        <v>132,6000000000,250000,13,65</v>
      </c>
    </row>
    <row r="134" spans="1:20" x14ac:dyDescent="0.25">
      <c r="A134">
        <f t="shared" si="29"/>
        <v>133</v>
      </c>
      <c r="B134" s="1">
        <v>6500000000</v>
      </c>
      <c r="C134" s="1">
        <v>500000000</v>
      </c>
      <c r="E134" s="1">
        <f>+S134*10000</f>
        <v>139300</v>
      </c>
      <c r="F134" s="1">
        <f t="shared" si="22"/>
        <v>3589.3754486719313</v>
      </c>
      <c r="G134" s="1">
        <f t="shared" si="23"/>
        <v>1794.6877243359656</v>
      </c>
      <c r="H134" s="1">
        <f t="shared" si="24"/>
        <v>717.87508973438617</v>
      </c>
      <c r="I134" s="1">
        <f t="shared" si="25"/>
        <v>358.93754486719308</v>
      </c>
      <c r="J134" s="1">
        <f t="shared" si="26"/>
        <v>239.29169657812875</v>
      </c>
      <c r="K134" s="1">
        <f t="shared" si="27"/>
        <v>119.64584828906438</v>
      </c>
      <c r="L134" s="1">
        <f t="shared" si="28"/>
        <v>35.89375448671931</v>
      </c>
      <c r="M134" s="4">
        <f t="shared" si="21"/>
        <v>250000</v>
      </c>
      <c r="N134" s="4"/>
      <c r="O134" s="8"/>
      <c r="P134">
        <v>133</v>
      </c>
      <c r="Q134" s="1">
        <v>6500000000</v>
      </c>
      <c r="R134" s="4">
        <v>250000</v>
      </c>
      <c r="S134">
        <f>ROUND(1.02^A134,2)</f>
        <v>13.93</v>
      </c>
      <c r="T134" t="str">
        <f t="shared" si="20"/>
        <v>133,6500000000,250000,13,93</v>
      </c>
    </row>
    <row r="135" spans="1:20" x14ac:dyDescent="0.25">
      <c r="A135">
        <f t="shared" si="29"/>
        <v>134</v>
      </c>
      <c r="B135" s="1">
        <v>7000000000</v>
      </c>
      <c r="C135" s="1">
        <v>500000000</v>
      </c>
      <c r="E135" s="1">
        <f>+S135*10000</f>
        <v>142000</v>
      </c>
      <c r="F135" s="1">
        <f t="shared" si="22"/>
        <v>4225.3521126760561</v>
      </c>
      <c r="G135" s="1">
        <f t="shared" si="23"/>
        <v>2112.676056338028</v>
      </c>
      <c r="H135" s="1">
        <f t="shared" si="24"/>
        <v>845.07042253521126</v>
      </c>
      <c r="I135" s="1">
        <f t="shared" si="25"/>
        <v>422.53521126760563</v>
      </c>
      <c r="J135" s="1">
        <f t="shared" si="26"/>
        <v>281.6901408450704</v>
      </c>
      <c r="K135" s="1">
        <f t="shared" si="27"/>
        <v>140.8450704225352</v>
      </c>
      <c r="L135" s="1">
        <f t="shared" si="28"/>
        <v>42.25352112676056</v>
      </c>
      <c r="M135" s="4">
        <f t="shared" si="21"/>
        <v>300000</v>
      </c>
      <c r="N135" s="4"/>
      <c r="O135" s="8"/>
      <c r="P135">
        <v>134</v>
      </c>
      <c r="Q135" s="1">
        <v>7000000000</v>
      </c>
      <c r="R135" s="4">
        <v>300000</v>
      </c>
      <c r="S135">
        <f>ROUND(1.02^A135,2)</f>
        <v>14.2</v>
      </c>
      <c r="T135" t="str">
        <f t="shared" si="20"/>
        <v>134,7000000000,300000,14,2</v>
      </c>
    </row>
    <row r="136" spans="1:20" x14ac:dyDescent="0.25">
      <c r="A136">
        <f t="shared" si="29"/>
        <v>135</v>
      </c>
      <c r="B136" s="1">
        <v>7600000000</v>
      </c>
      <c r="C136" s="1">
        <v>600000000</v>
      </c>
      <c r="E136" s="1">
        <f>+S136*10000</f>
        <v>144900</v>
      </c>
      <c r="F136" s="1">
        <f t="shared" si="22"/>
        <v>4140.7867494824013</v>
      </c>
      <c r="G136" s="1">
        <f t="shared" si="23"/>
        <v>2070.3933747412007</v>
      </c>
      <c r="H136" s="1">
        <f t="shared" si="24"/>
        <v>828.15734989648035</v>
      </c>
      <c r="I136" s="1">
        <f t="shared" si="25"/>
        <v>414.07867494824018</v>
      </c>
      <c r="J136" s="1">
        <f t="shared" si="26"/>
        <v>276.05244996549345</v>
      </c>
      <c r="K136" s="1">
        <f t="shared" si="27"/>
        <v>138.02622498274673</v>
      </c>
      <c r="L136" s="1">
        <f t="shared" si="28"/>
        <v>41.407867494824018</v>
      </c>
      <c r="M136" s="4">
        <f t="shared" si="21"/>
        <v>300000</v>
      </c>
      <c r="N136" s="4"/>
      <c r="O136" s="8"/>
      <c r="P136">
        <v>135</v>
      </c>
      <c r="Q136" s="1">
        <v>7600000000</v>
      </c>
      <c r="R136" s="4">
        <v>300000</v>
      </c>
      <c r="S136">
        <f>ROUND(1.02^A136,2)</f>
        <v>14.49</v>
      </c>
      <c r="T136" t="str">
        <f t="shared" si="20"/>
        <v>135,7600000000,300000,14,49</v>
      </c>
    </row>
    <row r="137" spans="1:20" x14ac:dyDescent="0.25">
      <c r="A137">
        <f t="shared" si="29"/>
        <v>136</v>
      </c>
      <c r="B137" s="1">
        <v>8200000000</v>
      </c>
      <c r="C137" s="1">
        <v>600000000</v>
      </c>
      <c r="E137" s="1">
        <f>+S137*10000</f>
        <v>147800</v>
      </c>
      <c r="F137" s="1">
        <f t="shared" si="22"/>
        <v>4736.129905277402</v>
      </c>
      <c r="G137" s="1">
        <f t="shared" si="23"/>
        <v>2368.064952638701</v>
      </c>
      <c r="H137" s="1">
        <f t="shared" si="24"/>
        <v>947.22598105548036</v>
      </c>
      <c r="I137" s="1">
        <f t="shared" si="25"/>
        <v>473.61299052774018</v>
      </c>
      <c r="J137" s="1">
        <f t="shared" si="26"/>
        <v>315.74199368516014</v>
      </c>
      <c r="K137" s="1">
        <f t="shared" si="27"/>
        <v>157.87099684258007</v>
      </c>
      <c r="L137" s="1">
        <f t="shared" si="28"/>
        <v>47.361299052774022</v>
      </c>
      <c r="M137" s="4">
        <f t="shared" si="21"/>
        <v>350000</v>
      </c>
      <c r="N137" s="4"/>
      <c r="O137" s="8"/>
      <c r="P137">
        <v>136</v>
      </c>
      <c r="Q137" s="1">
        <v>8200000000</v>
      </c>
      <c r="R137" s="4">
        <v>350000</v>
      </c>
      <c r="S137">
        <f>ROUND(1.02^A137,2)</f>
        <v>14.78</v>
      </c>
      <c r="T137" t="str">
        <f t="shared" si="20"/>
        <v>136,8200000000,350000,14,78</v>
      </c>
    </row>
    <row r="138" spans="1:20" x14ac:dyDescent="0.25">
      <c r="A138">
        <f t="shared" si="29"/>
        <v>137</v>
      </c>
      <c r="B138" s="1">
        <v>8900000000</v>
      </c>
      <c r="C138" s="1">
        <v>700000000</v>
      </c>
      <c r="E138" s="1">
        <f>+S138*10000</f>
        <v>150700</v>
      </c>
      <c r="F138" s="1">
        <f t="shared" si="22"/>
        <v>4644.9900464499005</v>
      </c>
      <c r="G138" s="1">
        <f t="shared" si="23"/>
        <v>2322.4950232249503</v>
      </c>
      <c r="H138" s="1">
        <f t="shared" si="24"/>
        <v>928.99800928998013</v>
      </c>
      <c r="I138" s="1">
        <f t="shared" si="25"/>
        <v>464.49900464499007</v>
      </c>
      <c r="J138" s="1">
        <f t="shared" si="26"/>
        <v>309.66600309666001</v>
      </c>
      <c r="K138" s="1">
        <f t="shared" si="27"/>
        <v>154.83300154833</v>
      </c>
      <c r="L138" s="1">
        <f t="shared" si="28"/>
        <v>46.449900464499002</v>
      </c>
      <c r="M138" s="4">
        <f t="shared" si="21"/>
        <v>350000</v>
      </c>
      <c r="N138" s="4"/>
      <c r="O138" s="8"/>
      <c r="P138">
        <v>137</v>
      </c>
      <c r="Q138" s="1">
        <v>8900000000</v>
      </c>
      <c r="R138" s="4">
        <v>350000</v>
      </c>
      <c r="S138">
        <f>ROUND(1.02^A138,2)</f>
        <v>15.07</v>
      </c>
      <c r="T138" t="str">
        <f t="shared" si="20"/>
        <v>137,8900000000,350000,15,07</v>
      </c>
    </row>
    <row r="139" spans="1:20" x14ac:dyDescent="0.25">
      <c r="A139">
        <f t="shared" si="29"/>
        <v>138</v>
      </c>
      <c r="B139" s="1">
        <v>9600000000</v>
      </c>
      <c r="C139" s="1">
        <v>700000000</v>
      </c>
      <c r="E139" s="1">
        <f>+S139*10000</f>
        <v>153800</v>
      </c>
      <c r="F139" s="1">
        <f t="shared" si="22"/>
        <v>5201.560468140442</v>
      </c>
      <c r="G139" s="1">
        <f t="shared" si="23"/>
        <v>2600.780234070221</v>
      </c>
      <c r="H139" s="1">
        <f t="shared" si="24"/>
        <v>1040.3120936280884</v>
      </c>
      <c r="I139" s="1">
        <f t="shared" si="25"/>
        <v>520.1560468140442</v>
      </c>
      <c r="J139" s="1">
        <f t="shared" si="26"/>
        <v>346.77069787602949</v>
      </c>
      <c r="K139" s="1">
        <f t="shared" si="27"/>
        <v>173.38534893801474</v>
      </c>
      <c r="L139" s="1">
        <f t="shared" si="28"/>
        <v>52.015604681404419</v>
      </c>
      <c r="M139" s="4">
        <f t="shared" si="21"/>
        <v>400000</v>
      </c>
      <c r="N139" s="4"/>
      <c r="O139" s="8"/>
      <c r="P139">
        <v>138</v>
      </c>
      <c r="Q139" s="1">
        <v>9600000000</v>
      </c>
      <c r="R139" s="4">
        <v>400000</v>
      </c>
      <c r="S139">
        <f>ROUND(1.02^A139,2)</f>
        <v>15.38</v>
      </c>
      <c r="T139" t="str">
        <f t="shared" si="20"/>
        <v>138,9600000000,400000,15,38</v>
      </c>
    </row>
    <row r="140" spans="1:20" x14ac:dyDescent="0.25">
      <c r="A140">
        <f t="shared" si="29"/>
        <v>139</v>
      </c>
      <c r="B140" s="1">
        <v>10400000000</v>
      </c>
      <c r="C140" s="1">
        <v>800000000</v>
      </c>
      <c r="E140" s="1">
        <f>+S140*10000</f>
        <v>156800</v>
      </c>
      <c r="F140" s="1">
        <f t="shared" si="22"/>
        <v>5102.0408163265311</v>
      </c>
      <c r="G140" s="1">
        <f t="shared" si="23"/>
        <v>2551.0204081632655</v>
      </c>
      <c r="H140" s="1">
        <f t="shared" si="24"/>
        <v>1020.4081632653061</v>
      </c>
      <c r="I140" s="1">
        <f t="shared" si="25"/>
        <v>510.20408163265307</v>
      </c>
      <c r="J140" s="1">
        <f t="shared" si="26"/>
        <v>340.13605442176873</v>
      </c>
      <c r="K140" s="1">
        <f t="shared" si="27"/>
        <v>170.06802721088437</v>
      </c>
      <c r="L140" s="1">
        <f t="shared" si="28"/>
        <v>51.020408163265309</v>
      </c>
      <c r="M140" s="4">
        <f t="shared" si="21"/>
        <v>400000</v>
      </c>
      <c r="N140" s="4"/>
      <c r="O140" s="8"/>
      <c r="P140">
        <v>139</v>
      </c>
      <c r="Q140" s="1">
        <v>10400000000</v>
      </c>
      <c r="R140" s="4">
        <v>400000</v>
      </c>
      <c r="S140">
        <f>ROUND(1.02^A140,2)</f>
        <v>15.68</v>
      </c>
      <c r="T140" t="str">
        <f t="shared" si="20"/>
        <v>139,10400000000,400000,15,68</v>
      </c>
    </row>
    <row r="141" spans="1:20" x14ac:dyDescent="0.25">
      <c r="A141">
        <f t="shared" si="29"/>
        <v>140</v>
      </c>
      <c r="B141" s="1">
        <v>11200000000</v>
      </c>
      <c r="C141" s="1">
        <v>800000000</v>
      </c>
      <c r="E141" s="1">
        <f>+S141*10000</f>
        <v>160000</v>
      </c>
      <c r="F141" s="1">
        <f t="shared" si="22"/>
        <v>5625</v>
      </c>
      <c r="G141" s="1">
        <f t="shared" si="23"/>
        <v>2812.5</v>
      </c>
      <c r="H141" s="1">
        <f t="shared" si="24"/>
        <v>1125</v>
      </c>
      <c r="I141" s="1">
        <f t="shared" si="25"/>
        <v>562.5</v>
      </c>
      <c r="J141" s="1">
        <f t="shared" si="26"/>
        <v>375</v>
      </c>
      <c r="K141" s="1">
        <f t="shared" si="27"/>
        <v>187.5</v>
      </c>
      <c r="L141" s="1">
        <f t="shared" si="28"/>
        <v>56.25</v>
      </c>
      <c r="M141" s="4">
        <f t="shared" si="21"/>
        <v>450000</v>
      </c>
      <c r="N141" s="4"/>
      <c r="O141" s="8"/>
      <c r="P141">
        <v>140</v>
      </c>
      <c r="Q141" s="1">
        <v>11200000000</v>
      </c>
      <c r="R141" s="4">
        <v>450000</v>
      </c>
      <c r="S141">
        <f>ROUND(1.02^A141,2)</f>
        <v>16</v>
      </c>
      <c r="T141" t="str">
        <f t="shared" si="20"/>
        <v>140,11200000000,450000,16</v>
      </c>
    </row>
    <row r="142" spans="1:20" x14ac:dyDescent="0.25">
      <c r="A142">
        <f t="shared" si="29"/>
        <v>141</v>
      </c>
      <c r="B142" s="1">
        <v>12100000000</v>
      </c>
      <c r="C142" s="1">
        <v>900000000</v>
      </c>
      <c r="E142" s="1">
        <f>+S142*10000</f>
        <v>163200</v>
      </c>
      <c r="F142" s="1">
        <f t="shared" si="22"/>
        <v>5514.7058823529414</v>
      </c>
      <c r="G142" s="1">
        <f t="shared" si="23"/>
        <v>2757.3529411764707</v>
      </c>
      <c r="H142" s="1">
        <f t="shared" si="24"/>
        <v>1102.9411764705883</v>
      </c>
      <c r="I142" s="1">
        <f t="shared" si="25"/>
        <v>551.47058823529414</v>
      </c>
      <c r="J142" s="1">
        <f t="shared" si="26"/>
        <v>367.64705882352939</v>
      </c>
      <c r="K142" s="1">
        <f t="shared" si="27"/>
        <v>183.8235294117647</v>
      </c>
      <c r="L142" s="1">
        <f t="shared" si="28"/>
        <v>55.147058823529413</v>
      </c>
      <c r="M142" s="4">
        <f t="shared" si="21"/>
        <v>450000</v>
      </c>
      <c r="N142" s="4"/>
      <c r="O142" s="8"/>
      <c r="P142">
        <v>141</v>
      </c>
      <c r="Q142" s="1">
        <v>12100000000</v>
      </c>
      <c r="R142" s="4">
        <v>450000</v>
      </c>
      <c r="S142">
        <f>ROUND(1.02^A142,2)</f>
        <v>16.32</v>
      </c>
      <c r="T142" t="str">
        <f t="shared" si="20"/>
        <v>141,12100000000,450000,16,32</v>
      </c>
    </row>
    <row r="143" spans="1:20" x14ac:dyDescent="0.25">
      <c r="A143">
        <f t="shared" si="29"/>
        <v>142</v>
      </c>
      <c r="B143" s="1">
        <v>13000000000</v>
      </c>
      <c r="C143" s="1">
        <v>900000000</v>
      </c>
      <c r="E143" s="1">
        <f>+S143*10000</f>
        <v>166400</v>
      </c>
      <c r="F143" s="1">
        <f t="shared" si="22"/>
        <v>6009.6153846153848</v>
      </c>
      <c r="G143" s="1">
        <f t="shared" si="23"/>
        <v>3004.8076923076924</v>
      </c>
      <c r="H143" s="1">
        <f t="shared" si="24"/>
        <v>1201.9230769230769</v>
      </c>
      <c r="I143" s="1">
        <f t="shared" si="25"/>
        <v>600.96153846153845</v>
      </c>
      <c r="J143" s="1">
        <f t="shared" si="26"/>
        <v>400.64102564102564</v>
      </c>
      <c r="K143" s="1">
        <f t="shared" si="27"/>
        <v>200.32051282051282</v>
      </c>
      <c r="L143" s="1">
        <f t="shared" si="28"/>
        <v>60.096153846153847</v>
      </c>
      <c r="M143" s="4">
        <f t="shared" si="21"/>
        <v>500000</v>
      </c>
      <c r="N143" s="4"/>
      <c r="O143" s="8"/>
      <c r="P143">
        <v>142</v>
      </c>
      <c r="Q143" s="1">
        <v>13000000000</v>
      </c>
      <c r="R143" s="4">
        <v>500000</v>
      </c>
      <c r="S143">
        <f>ROUND(1.02^A143,2)</f>
        <v>16.64</v>
      </c>
      <c r="T143" t="str">
        <f t="shared" si="20"/>
        <v>142,13000000000,500000,16,64</v>
      </c>
    </row>
    <row r="144" spans="1:20" x14ac:dyDescent="0.25">
      <c r="A144">
        <f t="shared" si="29"/>
        <v>143</v>
      </c>
      <c r="B144" s="1">
        <v>14000000000</v>
      </c>
      <c r="C144" s="1">
        <v>1000000000</v>
      </c>
      <c r="E144" s="1">
        <f>+S144*10000</f>
        <v>169800</v>
      </c>
      <c r="F144" s="1">
        <f t="shared" si="22"/>
        <v>5889.2815076560655</v>
      </c>
      <c r="G144" s="1">
        <f t="shared" si="23"/>
        <v>2944.6407538280328</v>
      </c>
      <c r="H144" s="1">
        <f t="shared" si="24"/>
        <v>1177.8563015312131</v>
      </c>
      <c r="I144" s="1">
        <f t="shared" si="25"/>
        <v>588.92815076560657</v>
      </c>
      <c r="J144" s="1">
        <f t="shared" si="26"/>
        <v>392.61876717707105</v>
      </c>
      <c r="K144" s="1">
        <f t="shared" si="27"/>
        <v>196.30938358853552</v>
      </c>
      <c r="L144" s="1">
        <f t="shared" si="28"/>
        <v>58.892815076560659</v>
      </c>
      <c r="M144" s="4">
        <f t="shared" si="21"/>
        <v>500000</v>
      </c>
      <c r="N144" s="4"/>
      <c r="O144" s="8"/>
      <c r="P144">
        <v>143</v>
      </c>
      <c r="Q144" s="1">
        <v>14000000000</v>
      </c>
      <c r="R144" s="4">
        <v>500000</v>
      </c>
      <c r="S144">
        <f>ROUND(1.02^A144,2)</f>
        <v>16.98</v>
      </c>
      <c r="T144" t="str">
        <f t="shared" si="20"/>
        <v>143,14000000000,500000,16,98</v>
      </c>
    </row>
    <row r="145" spans="1:20" x14ac:dyDescent="0.25">
      <c r="A145">
        <f t="shared" si="29"/>
        <v>144</v>
      </c>
      <c r="B145" s="1">
        <v>15000000000</v>
      </c>
      <c r="C145" s="1">
        <v>1000000000</v>
      </c>
      <c r="E145" s="1">
        <f>+S145*10000</f>
        <v>173200</v>
      </c>
      <c r="F145" s="1">
        <f t="shared" si="22"/>
        <v>5773.6720554272515</v>
      </c>
      <c r="G145" s="1">
        <f t="shared" si="23"/>
        <v>2886.8360277136258</v>
      </c>
      <c r="H145" s="1">
        <f t="shared" si="24"/>
        <v>1154.7344110854503</v>
      </c>
      <c r="I145" s="1">
        <f t="shared" si="25"/>
        <v>577.36720554272517</v>
      </c>
      <c r="J145" s="1">
        <f t="shared" si="26"/>
        <v>384.91147036181678</v>
      </c>
      <c r="K145" s="1">
        <f t="shared" si="27"/>
        <v>192.45573518090839</v>
      </c>
      <c r="L145" s="1">
        <f t="shared" si="28"/>
        <v>57.736720554272516</v>
      </c>
      <c r="M145" s="4">
        <f t="shared" si="21"/>
        <v>500000</v>
      </c>
      <c r="N145" s="4"/>
      <c r="O145" s="8"/>
      <c r="P145">
        <v>144</v>
      </c>
      <c r="Q145" s="1">
        <v>15000000000</v>
      </c>
      <c r="R145" s="4">
        <v>500000</v>
      </c>
      <c r="S145">
        <f>ROUND(1.02^A145,2)</f>
        <v>17.32</v>
      </c>
      <c r="T145" t="str">
        <f t="shared" si="20"/>
        <v>144,15000000000,500000,17,32</v>
      </c>
    </row>
    <row r="146" spans="1:20" x14ac:dyDescent="0.25">
      <c r="A146">
        <f t="shared" si="29"/>
        <v>145</v>
      </c>
      <c r="B146" s="1">
        <v>16000000000</v>
      </c>
      <c r="C146" s="1">
        <v>1000000000</v>
      </c>
      <c r="E146" s="1">
        <f>+S146*10000</f>
        <v>176600</v>
      </c>
      <c r="F146" s="1">
        <f t="shared" si="22"/>
        <v>5662.5141562853905</v>
      </c>
      <c r="G146" s="1">
        <f t="shared" si="23"/>
        <v>2831.2570781426953</v>
      </c>
      <c r="H146" s="1">
        <f t="shared" si="24"/>
        <v>1132.5028312570782</v>
      </c>
      <c r="I146" s="1">
        <f t="shared" si="25"/>
        <v>566.25141562853912</v>
      </c>
      <c r="J146" s="1">
        <f t="shared" si="26"/>
        <v>377.50094375235938</v>
      </c>
      <c r="K146" s="1">
        <f t="shared" si="27"/>
        <v>188.75047187617969</v>
      </c>
      <c r="L146" s="1">
        <f t="shared" si="28"/>
        <v>56.625141562853905</v>
      </c>
      <c r="M146" s="4">
        <f t="shared" si="21"/>
        <v>500000</v>
      </c>
      <c r="N146" s="4"/>
      <c r="O146" s="8"/>
      <c r="P146">
        <v>145</v>
      </c>
      <c r="Q146" s="1">
        <v>16000000000</v>
      </c>
      <c r="R146" s="4">
        <v>500000</v>
      </c>
      <c r="S146">
        <f>ROUND(1.02^A146,2)</f>
        <v>17.66</v>
      </c>
      <c r="T146" t="str">
        <f t="shared" si="20"/>
        <v>145,16000000000,500000,17,66</v>
      </c>
    </row>
    <row r="147" spans="1:20" x14ac:dyDescent="0.25">
      <c r="A147">
        <f t="shared" si="29"/>
        <v>146</v>
      </c>
      <c r="B147" s="1">
        <v>17000000000</v>
      </c>
      <c r="C147" s="1">
        <v>1000000000</v>
      </c>
      <c r="E147" s="1">
        <f>+S147*10000</f>
        <v>180100.00000000003</v>
      </c>
      <c r="F147" s="1">
        <f t="shared" si="22"/>
        <v>5552.4708495280393</v>
      </c>
      <c r="G147" s="1">
        <f t="shared" si="23"/>
        <v>2776.2354247640196</v>
      </c>
      <c r="H147" s="1">
        <f t="shared" si="24"/>
        <v>1110.4941699056078</v>
      </c>
      <c r="I147" s="1">
        <f t="shared" si="25"/>
        <v>555.2470849528039</v>
      </c>
      <c r="J147" s="1">
        <f t="shared" si="26"/>
        <v>370.16472330186929</v>
      </c>
      <c r="K147" s="1">
        <f t="shared" si="27"/>
        <v>185.08236165093464</v>
      </c>
      <c r="L147" s="1">
        <f t="shared" si="28"/>
        <v>55.524708495280386</v>
      </c>
      <c r="M147" s="4">
        <f t="shared" si="21"/>
        <v>500000</v>
      </c>
      <c r="N147" s="4"/>
      <c r="O147" s="8"/>
      <c r="P147">
        <v>146</v>
      </c>
      <c r="Q147" s="1">
        <v>17000000000</v>
      </c>
      <c r="R147" s="4">
        <v>500000</v>
      </c>
      <c r="S147">
        <f>ROUND(1.02^A147,2)</f>
        <v>18.010000000000002</v>
      </c>
      <c r="T147" t="str">
        <f t="shared" si="20"/>
        <v>146,17000000000,500000,18,01</v>
      </c>
    </row>
    <row r="148" spans="1:20" x14ac:dyDescent="0.25">
      <c r="A148">
        <f t="shared" si="29"/>
        <v>147</v>
      </c>
      <c r="B148" s="1">
        <v>18000000000</v>
      </c>
      <c r="C148" s="1">
        <v>1000000000</v>
      </c>
      <c r="E148" s="1">
        <f>+S148*10000</f>
        <v>183700</v>
      </c>
      <c r="F148" s="1">
        <f t="shared" si="22"/>
        <v>10887.316276537833</v>
      </c>
      <c r="G148" s="1">
        <f t="shared" si="23"/>
        <v>5443.6581382689164</v>
      </c>
      <c r="H148" s="1">
        <f t="shared" si="24"/>
        <v>2177.4632553075667</v>
      </c>
      <c r="I148" s="1">
        <f t="shared" si="25"/>
        <v>1088.7316276537833</v>
      </c>
      <c r="J148" s="1">
        <f t="shared" si="26"/>
        <v>725.82108510252226</v>
      </c>
      <c r="K148" s="1">
        <f t="shared" si="27"/>
        <v>362.91054255126113</v>
      </c>
      <c r="L148" s="1">
        <f t="shared" si="28"/>
        <v>108.87316276537834</v>
      </c>
      <c r="M148" s="4">
        <f t="shared" si="21"/>
        <v>1000000</v>
      </c>
      <c r="N148" s="4"/>
      <c r="O148" s="8"/>
      <c r="P148">
        <v>147</v>
      </c>
      <c r="Q148" s="1">
        <v>18000000000</v>
      </c>
      <c r="R148" s="4">
        <v>1000000</v>
      </c>
      <c r="S148">
        <f>ROUND(1.02^A148,2)</f>
        <v>18.37</v>
      </c>
      <c r="T148" t="str">
        <f t="shared" si="20"/>
        <v>147,18000000000,1000000,18,37</v>
      </c>
    </row>
    <row r="149" spans="1:20" x14ac:dyDescent="0.25">
      <c r="A149">
        <f t="shared" si="29"/>
        <v>148</v>
      </c>
      <c r="B149" s="1">
        <v>20000000000</v>
      </c>
      <c r="C149" s="1">
        <v>2000000000</v>
      </c>
      <c r="E149" s="1">
        <f>+S149*10000</f>
        <v>187399.99999999997</v>
      </c>
      <c r="F149" s="1">
        <f t="shared" si="22"/>
        <v>10672.358591248667</v>
      </c>
      <c r="G149" s="1">
        <f t="shared" si="23"/>
        <v>5336.1792956243335</v>
      </c>
      <c r="H149" s="1">
        <f t="shared" si="24"/>
        <v>2134.4717182497334</v>
      </c>
      <c r="I149" s="1">
        <f t="shared" si="25"/>
        <v>1067.2358591248667</v>
      </c>
      <c r="J149" s="1">
        <f t="shared" si="26"/>
        <v>711.49057274991117</v>
      </c>
      <c r="K149" s="1">
        <f t="shared" si="27"/>
        <v>355.74528637495558</v>
      </c>
      <c r="L149" s="1">
        <f t="shared" si="28"/>
        <v>106.72358591248668</v>
      </c>
      <c r="M149" s="4">
        <f t="shared" si="21"/>
        <v>1000000</v>
      </c>
      <c r="N149" s="4"/>
      <c r="O149" s="8"/>
      <c r="P149">
        <v>148</v>
      </c>
      <c r="Q149" s="1">
        <v>20000000000</v>
      </c>
      <c r="R149" s="4">
        <v>1000000</v>
      </c>
      <c r="S149">
        <f>ROUND(1.02^A149,2)</f>
        <v>18.739999999999998</v>
      </c>
      <c r="T149" t="str">
        <f t="shared" si="20"/>
        <v>148,20000000000,1000000,18,74</v>
      </c>
    </row>
    <row r="150" spans="1:20" x14ac:dyDescent="0.25">
      <c r="A150">
        <f t="shared" si="29"/>
        <v>149</v>
      </c>
      <c r="B150" s="1">
        <v>22000000000</v>
      </c>
      <c r="C150" s="1">
        <v>2000000000</v>
      </c>
      <c r="E150" s="1">
        <f>+S150*10000</f>
        <v>191200</v>
      </c>
      <c r="F150" s="1">
        <f t="shared" si="22"/>
        <v>10460.251046025105</v>
      </c>
      <c r="G150" s="1">
        <f t="shared" si="23"/>
        <v>5230.1255230125525</v>
      </c>
      <c r="H150" s="1">
        <f t="shared" si="24"/>
        <v>2092.050209205021</v>
      </c>
      <c r="I150" s="1">
        <f t="shared" si="25"/>
        <v>1046.0251046025105</v>
      </c>
      <c r="J150" s="1">
        <f t="shared" si="26"/>
        <v>697.35006973500697</v>
      </c>
      <c r="K150" s="1">
        <f t="shared" si="27"/>
        <v>348.67503486750348</v>
      </c>
      <c r="L150" s="1">
        <f t="shared" si="28"/>
        <v>104.60251046025104</v>
      </c>
      <c r="M150" s="4">
        <f t="shared" si="21"/>
        <v>1000000</v>
      </c>
      <c r="N150" s="4"/>
      <c r="O150" s="8"/>
      <c r="P150">
        <v>149</v>
      </c>
      <c r="Q150" s="1">
        <v>22000000000</v>
      </c>
      <c r="R150" s="4">
        <v>1000000</v>
      </c>
      <c r="S150">
        <f>ROUND(1.02^A150,2)</f>
        <v>19.12</v>
      </c>
      <c r="T150" t="str">
        <f t="shared" si="20"/>
        <v>149,22000000000,1000000,19,12</v>
      </c>
    </row>
    <row r="151" spans="1:20" x14ac:dyDescent="0.25">
      <c r="A151">
        <f t="shared" si="29"/>
        <v>150</v>
      </c>
      <c r="B151" s="1">
        <v>24000000000</v>
      </c>
      <c r="C151" s="1">
        <v>2000000000</v>
      </c>
      <c r="E151" s="1">
        <f>+S151*10000</f>
        <v>195000</v>
      </c>
      <c r="F151" s="1">
        <f t="shared" si="22"/>
        <v>10256.410256410256</v>
      </c>
      <c r="G151" s="1">
        <f t="shared" si="23"/>
        <v>5128.2051282051279</v>
      </c>
      <c r="H151" s="1">
        <f t="shared" si="24"/>
        <v>2051.2820512820513</v>
      </c>
      <c r="I151" s="1">
        <f t="shared" si="25"/>
        <v>1025.6410256410256</v>
      </c>
      <c r="J151" s="1">
        <f t="shared" si="26"/>
        <v>683.76068376068372</v>
      </c>
      <c r="K151" s="1">
        <f t="shared" si="27"/>
        <v>341.88034188034186</v>
      </c>
      <c r="L151" s="1">
        <f t="shared" si="28"/>
        <v>102.56410256410257</v>
      </c>
      <c r="M151" s="4">
        <f t="shared" si="21"/>
        <v>1000000</v>
      </c>
      <c r="N151" s="4"/>
      <c r="O151" s="8"/>
      <c r="P151">
        <v>150</v>
      </c>
      <c r="Q151" s="1">
        <v>24000000000</v>
      </c>
      <c r="R151" s="4">
        <v>1000000</v>
      </c>
      <c r="S151">
        <f>ROUND(1.02^A151,2)</f>
        <v>19.5</v>
      </c>
      <c r="T151" t="str">
        <f t="shared" si="20"/>
        <v>150,24000000000,1000000,19,5</v>
      </c>
    </row>
    <row r="152" spans="1:20" x14ac:dyDescent="0.25">
      <c r="A152">
        <f t="shared" si="29"/>
        <v>151</v>
      </c>
      <c r="B152" s="1">
        <v>26000000000</v>
      </c>
      <c r="C152" s="1">
        <v>2000000000</v>
      </c>
      <c r="E152" s="1">
        <f>+S152*10000</f>
        <v>198900</v>
      </c>
      <c r="F152" s="1">
        <f t="shared" si="22"/>
        <v>10055.304172951232</v>
      </c>
      <c r="G152" s="1">
        <f t="shared" si="23"/>
        <v>5027.6520864756158</v>
      </c>
      <c r="H152" s="1">
        <f t="shared" si="24"/>
        <v>2011.0608345902463</v>
      </c>
      <c r="I152" s="1">
        <f t="shared" si="25"/>
        <v>1005.5304172951231</v>
      </c>
      <c r="J152" s="1">
        <f t="shared" si="26"/>
        <v>670.35361153008216</v>
      </c>
      <c r="K152" s="1">
        <f t="shared" si="27"/>
        <v>335.17680576504108</v>
      </c>
      <c r="L152" s="1">
        <f t="shared" si="28"/>
        <v>100.55304172951232</v>
      </c>
      <c r="M152" s="4">
        <f t="shared" si="21"/>
        <v>1000000</v>
      </c>
      <c r="N152" s="4"/>
      <c r="O152" s="8"/>
      <c r="P152">
        <v>151</v>
      </c>
      <c r="Q152" s="1">
        <v>26000000000</v>
      </c>
      <c r="R152" s="4">
        <v>1000000</v>
      </c>
      <c r="S152">
        <f>ROUND(1.02^A152,2)</f>
        <v>19.89</v>
      </c>
      <c r="T152" t="str">
        <f t="shared" si="20"/>
        <v>151,26000000000,1000000,19,89</v>
      </c>
    </row>
    <row r="153" spans="1:20" x14ac:dyDescent="0.25">
      <c r="A153">
        <f t="shared" si="29"/>
        <v>152</v>
      </c>
      <c r="B153" s="1">
        <v>28000000000</v>
      </c>
      <c r="C153" s="1">
        <v>2000000000</v>
      </c>
      <c r="E153" s="1">
        <f>+S153*10000</f>
        <v>202900</v>
      </c>
      <c r="F153" s="1">
        <f t="shared" si="22"/>
        <v>9857.0724494825045</v>
      </c>
      <c r="G153" s="1">
        <f t="shared" si="23"/>
        <v>4928.5362247412522</v>
      </c>
      <c r="H153" s="1">
        <f t="shared" si="24"/>
        <v>1971.4144898965008</v>
      </c>
      <c r="I153" s="1">
        <f t="shared" si="25"/>
        <v>985.70724494825038</v>
      </c>
      <c r="J153" s="1">
        <f t="shared" si="26"/>
        <v>657.13816329883355</v>
      </c>
      <c r="K153" s="1">
        <f t="shared" si="27"/>
        <v>328.56908164941677</v>
      </c>
      <c r="L153" s="1">
        <f t="shared" si="28"/>
        <v>98.570724494825043</v>
      </c>
      <c r="M153" s="4">
        <f t="shared" si="21"/>
        <v>1000000</v>
      </c>
      <c r="N153" s="4"/>
      <c r="O153" s="8"/>
      <c r="P153">
        <v>152</v>
      </c>
      <c r="Q153" s="1">
        <v>28000000000</v>
      </c>
      <c r="R153" s="4">
        <v>1000000</v>
      </c>
      <c r="S153">
        <f>ROUND(1.02^A153,2)</f>
        <v>20.29</v>
      </c>
      <c r="T153" t="str">
        <f t="shared" si="20"/>
        <v>152,28000000000,1000000,20,29</v>
      </c>
    </row>
    <row r="154" spans="1:20" x14ac:dyDescent="0.25">
      <c r="A154">
        <f t="shared" si="29"/>
        <v>153</v>
      </c>
      <c r="B154" s="1">
        <v>30000000000</v>
      </c>
      <c r="C154" s="1">
        <v>2000000000</v>
      </c>
      <c r="E154" s="1">
        <f>+S154*10000</f>
        <v>206900</v>
      </c>
      <c r="F154" s="1">
        <f t="shared" si="22"/>
        <v>9666.5055582406967</v>
      </c>
      <c r="G154" s="1">
        <f t="shared" si="23"/>
        <v>4833.2527791203484</v>
      </c>
      <c r="H154" s="1">
        <f t="shared" si="24"/>
        <v>1933.3011116481391</v>
      </c>
      <c r="I154" s="1">
        <f t="shared" si="25"/>
        <v>966.65055582406956</v>
      </c>
      <c r="J154" s="1">
        <f t="shared" si="26"/>
        <v>644.43370388271308</v>
      </c>
      <c r="K154" s="1">
        <f t="shared" si="27"/>
        <v>322.21685194135654</v>
      </c>
      <c r="L154" s="1">
        <f t="shared" si="28"/>
        <v>96.665055582406964</v>
      </c>
      <c r="M154" s="4">
        <f t="shared" si="21"/>
        <v>1000000</v>
      </c>
      <c r="N154" s="4"/>
      <c r="O154" s="8"/>
      <c r="P154">
        <v>153</v>
      </c>
      <c r="Q154" s="1">
        <v>30000000000</v>
      </c>
      <c r="R154" s="4">
        <v>1000000</v>
      </c>
      <c r="S154">
        <f>ROUND(1.02^A154,2)</f>
        <v>20.69</v>
      </c>
      <c r="T154" t="str">
        <f t="shared" si="20"/>
        <v>153,30000000000,1000000,20,69</v>
      </c>
    </row>
    <row r="155" spans="1:20" x14ac:dyDescent="0.25">
      <c r="A155">
        <f t="shared" si="29"/>
        <v>154</v>
      </c>
      <c r="B155" s="1">
        <v>32000000000</v>
      </c>
      <c r="C155" s="1">
        <v>2000000000</v>
      </c>
      <c r="E155" s="1">
        <f>+S155*10000</f>
        <v>211100</v>
      </c>
      <c r="F155" s="1">
        <f t="shared" si="22"/>
        <v>14211.274277593557</v>
      </c>
      <c r="G155" s="1">
        <f t="shared" si="23"/>
        <v>7105.6371387967783</v>
      </c>
      <c r="H155" s="1">
        <f t="shared" si="24"/>
        <v>2842.2548555187113</v>
      </c>
      <c r="I155" s="1">
        <f t="shared" si="25"/>
        <v>1421.1274277593557</v>
      </c>
      <c r="J155" s="1">
        <f t="shared" si="26"/>
        <v>947.41828517290389</v>
      </c>
      <c r="K155" s="1">
        <f t="shared" si="27"/>
        <v>473.70914258645195</v>
      </c>
      <c r="L155" s="1">
        <f t="shared" si="28"/>
        <v>142.11274277593557</v>
      </c>
      <c r="M155" s="4">
        <f t="shared" si="21"/>
        <v>1500000</v>
      </c>
      <c r="N155" s="4"/>
      <c r="O155" s="8"/>
      <c r="P155">
        <v>154</v>
      </c>
      <c r="Q155" s="1">
        <v>32000000000</v>
      </c>
      <c r="R155" s="4">
        <v>1500000</v>
      </c>
      <c r="S155">
        <f>ROUND(1.02^A155,2)</f>
        <v>21.11</v>
      </c>
      <c r="T155" t="str">
        <f t="shared" si="20"/>
        <v>154,32000000000,1500000,21,11</v>
      </c>
    </row>
    <row r="156" spans="1:20" x14ac:dyDescent="0.25">
      <c r="A156">
        <f t="shared" si="29"/>
        <v>155</v>
      </c>
      <c r="B156" s="1">
        <v>35000000000</v>
      </c>
      <c r="C156" s="1">
        <v>3000000000</v>
      </c>
      <c r="E156" s="1">
        <f>+S156*10000</f>
        <v>215300</v>
      </c>
      <c r="F156" s="1">
        <f t="shared" si="22"/>
        <v>13934.045517882025</v>
      </c>
      <c r="G156" s="1">
        <f t="shared" si="23"/>
        <v>6967.0227589410124</v>
      </c>
      <c r="H156" s="1">
        <f t="shared" si="24"/>
        <v>2786.8091035764051</v>
      </c>
      <c r="I156" s="1">
        <f t="shared" si="25"/>
        <v>1393.4045517882025</v>
      </c>
      <c r="J156" s="1">
        <f t="shared" si="26"/>
        <v>928.93636785880165</v>
      </c>
      <c r="K156" s="1">
        <f t="shared" si="27"/>
        <v>464.46818392940082</v>
      </c>
      <c r="L156" s="1">
        <f t="shared" si="28"/>
        <v>139.34045517882026</v>
      </c>
      <c r="M156" s="4">
        <f t="shared" si="21"/>
        <v>1500000</v>
      </c>
      <c r="N156" s="4"/>
      <c r="O156" s="8"/>
      <c r="P156">
        <v>155</v>
      </c>
      <c r="Q156" s="1">
        <v>35000000000</v>
      </c>
      <c r="R156" s="4">
        <v>1500000</v>
      </c>
      <c r="S156">
        <f>ROUND(1.02^A156,2)</f>
        <v>21.53</v>
      </c>
      <c r="T156" t="str">
        <f t="shared" si="20"/>
        <v>155,35000000000,1500000,21,53</v>
      </c>
    </row>
    <row r="157" spans="1:20" x14ac:dyDescent="0.25">
      <c r="A157">
        <f t="shared" si="29"/>
        <v>156</v>
      </c>
      <c r="B157" s="1">
        <v>38000000000</v>
      </c>
      <c r="C157" s="1">
        <v>3000000000</v>
      </c>
      <c r="E157" s="1">
        <f>+S157*10000</f>
        <v>219600</v>
      </c>
      <c r="F157" s="1">
        <f t="shared" si="22"/>
        <v>13661.20218579235</v>
      </c>
      <c r="G157" s="1">
        <f t="shared" si="23"/>
        <v>6830.601092896175</v>
      </c>
      <c r="H157" s="1">
        <f t="shared" si="24"/>
        <v>2732.2404371584698</v>
      </c>
      <c r="I157" s="1">
        <f t="shared" si="25"/>
        <v>1366.1202185792349</v>
      </c>
      <c r="J157" s="1">
        <f t="shared" si="26"/>
        <v>910.74681238615665</v>
      </c>
      <c r="K157" s="1">
        <f t="shared" si="27"/>
        <v>455.37340619307832</v>
      </c>
      <c r="L157" s="1">
        <f t="shared" si="28"/>
        <v>136.61202185792351</v>
      </c>
      <c r="M157" s="4">
        <f t="shared" si="21"/>
        <v>1500000</v>
      </c>
      <c r="N157" s="4"/>
      <c r="O157" s="8"/>
      <c r="P157">
        <v>156</v>
      </c>
      <c r="Q157" s="1">
        <v>38000000000</v>
      </c>
      <c r="R157" s="4">
        <v>1500000</v>
      </c>
      <c r="S157">
        <f>ROUND(1.02^A157,2)</f>
        <v>21.96</v>
      </c>
      <c r="T157" t="str">
        <f t="shared" si="20"/>
        <v>156,38000000000,1500000,21,96</v>
      </c>
    </row>
    <row r="158" spans="1:20" x14ac:dyDescent="0.25">
      <c r="A158">
        <f t="shared" si="29"/>
        <v>157</v>
      </c>
      <c r="B158" s="1">
        <v>41000000000</v>
      </c>
      <c r="C158" s="1">
        <v>3000000000</v>
      </c>
      <c r="E158" s="1">
        <f>+S158*10000</f>
        <v>224000</v>
      </c>
      <c r="F158" s="1">
        <f t="shared" si="22"/>
        <v>13392.857142857143</v>
      </c>
      <c r="G158" s="1">
        <f t="shared" si="23"/>
        <v>6696.4285714285716</v>
      </c>
      <c r="H158" s="1">
        <f t="shared" si="24"/>
        <v>2678.5714285714284</v>
      </c>
      <c r="I158" s="1">
        <f t="shared" si="25"/>
        <v>1339.2857142857142</v>
      </c>
      <c r="J158" s="1">
        <f t="shared" si="26"/>
        <v>892.85714285714289</v>
      </c>
      <c r="K158" s="1">
        <f t="shared" si="27"/>
        <v>446.42857142857144</v>
      </c>
      <c r="L158" s="1">
        <f t="shared" si="28"/>
        <v>133.92857142857142</v>
      </c>
      <c r="M158" s="4">
        <f t="shared" si="21"/>
        <v>1500000</v>
      </c>
      <c r="N158" s="4"/>
      <c r="O158" s="8"/>
      <c r="P158">
        <v>157</v>
      </c>
      <c r="Q158" s="1">
        <v>41000000000</v>
      </c>
      <c r="R158" s="4">
        <v>1500000</v>
      </c>
      <c r="S158">
        <f>ROUND(1.02^A158,2)</f>
        <v>22.4</v>
      </c>
      <c r="T158" t="str">
        <f t="shared" si="20"/>
        <v>157,41000000000,1500000,22,4</v>
      </c>
    </row>
    <row r="159" spans="1:20" x14ac:dyDescent="0.25">
      <c r="A159">
        <f t="shared" si="29"/>
        <v>158</v>
      </c>
      <c r="B159" s="1">
        <v>44000000000</v>
      </c>
      <c r="C159" s="1">
        <v>3000000000</v>
      </c>
      <c r="E159" s="1">
        <f>+S159*10000</f>
        <v>228500</v>
      </c>
      <c r="F159" s="1">
        <f t="shared" si="22"/>
        <v>17505.470459518601</v>
      </c>
      <c r="G159" s="1">
        <f t="shared" si="23"/>
        <v>8752.7352297593006</v>
      </c>
      <c r="H159" s="1">
        <f t="shared" si="24"/>
        <v>3501.0940919037198</v>
      </c>
      <c r="I159" s="1">
        <f t="shared" si="25"/>
        <v>1750.5470459518599</v>
      </c>
      <c r="J159" s="1">
        <f t="shared" si="26"/>
        <v>1167.0313639679066</v>
      </c>
      <c r="K159" s="1">
        <f t="shared" si="27"/>
        <v>583.5156819839533</v>
      </c>
      <c r="L159" s="1">
        <f t="shared" si="28"/>
        <v>175.054704595186</v>
      </c>
      <c r="M159" s="4">
        <f t="shared" si="21"/>
        <v>2000000</v>
      </c>
      <c r="N159" s="4"/>
      <c r="O159" s="8"/>
      <c r="P159">
        <v>158</v>
      </c>
      <c r="Q159" s="1">
        <v>44000000000</v>
      </c>
      <c r="R159" s="4">
        <v>2000000</v>
      </c>
      <c r="S159">
        <f>ROUND(1.02^A159,2)</f>
        <v>22.85</v>
      </c>
      <c r="T159" t="str">
        <f t="shared" si="20"/>
        <v>158,44000000000,2000000,22,85</v>
      </c>
    </row>
    <row r="160" spans="1:20" x14ac:dyDescent="0.25">
      <c r="A160">
        <f t="shared" si="29"/>
        <v>159</v>
      </c>
      <c r="B160" s="1">
        <v>48000000000</v>
      </c>
      <c r="C160" s="1">
        <v>4000000000</v>
      </c>
      <c r="E160" s="1">
        <f>+S160*10000</f>
        <v>233000</v>
      </c>
      <c r="F160" s="1">
        <f t="shared" si="22"/>
        <v>17167.381974248929</v>
      </c>
      <c r="G160" s="1">
        <f t="shared" si="23"/>
        <v>8583.6909871244643</v>
      </c>
      <c r="H160" s="1">
        <f t="shared" si="24"/>
        <v>3433.4763948497853</v>
      </c>
      <c r="I160" s="1">
        <f t="shared" si="25"/>
        <v>1716.7381974248926</v>
      </c>
      <c r="J160" s="1">
        <f t="shared" si="26"/>
        <v>1144.4921316165951</v>
      </c>
      <c r="K160" s="1">
        <f t="shared" si="27"/>
        <v>572.24606580829754</v>
      </c>
      <c r="L160" s="1">
        <f t="shared" si="28"/>
        <v>171.67381974248926</v>
      </c>
      <c r="M160" s="4">
        <f t="shared" si="21"/>
        <v>2000000</v>
      </c>
      <c r="N160" s="4"/>
      <c r="O160" s="8"/>
      <c r="P160">
        <v>159</v>
      </c>
      <c r="Q160" s="1">
        <v>48000000000</v>
      </c>
      <c r="R160" s="4">
        <v>2000000</v>
      </c>
      <c r="S160">
        <f>ROUND(1.02^A160,2)</f>
        <v>23.3</v>
      </c>
      <c r="T160" t="str">
        <f t="shared" si="20"/>
        <v>159,48000000000,2000000,23,3</v>
      </c>
    </row>
    <row r="161" spans="1:20" x14ac:dyDescent="0.25">
      <c r="A161">
        <f t="shared" si="29"/>
        <v>160</v>
      </c>
      <c r="B161" s="1">
        <v>52000000000</v>
      </c>
      <c r="C161" s="1">
        <v>4000000000</v>
      </c>
      <c r="E161" s="1">
        <f>+S161*10000</f>
        <v>237700</v>
      </c>
      <c r="F161" s="1">
        <f t="shared" si="22"/>
        <v>16827.934371055951</v>
      </c>
      <c r="G161" s="1">
        <f t="shared" si="23"/>
        <v>8413.9671855279757</v>
      </c>
      <c r="H161" s="1">
        <f t="shared" si="24"/>
        <v>3365.5868742111907</v>
      </c>
      <c r="I161" s="1">
        <f t="shared" si="25"/>
        <v>1682.7934371055953</v>
      </c>
      <c r="J161" s="1">
        <f t="shared" si="26"/>
        <v>1121.8622914037303</v>
      </c>
      <c r="K161" s="1">
        <f t="shared" si="27"/>
        <v>560.93114570186515</v>
      </c>
      <c r="L161" s="1">
        <f t="shared" si="28"/>
        <v>168.27934371055952</v>
      </c>
      <c r="M161" s="4">
        <f t="shared" si="21"/>
        <v>2000000</v>
      </c>
      <c r="N161" s="4"/>
      <c r="O161" s="8"/>
      <c r="P161">
        <v>160</v>
      </c>
      <c r="Q161" s="1">
        <v>52000000000</v>
      </c>
      <c r="R161" s="4">
        <v>2000000</v>
      </c>
      <c r="S161">
        <f>ROUND(1.02^A161,2)</f>
        <v>23.77</v>
      </c>
      <c r="T161" t="str">
        <f t="shared" si="20"/>
        <v>160,52000000000,2000000,23,77</v>
      </c>
    </row>
    <row r="162" spans="1:20" x14ac:dyDescent="0.25">
      <c r="A162">
        <f t="shared" si="29"/>
        <v>161</v>
      </c>
      <c r="B162" s="1">
        <v>56000000000</v>
      </c>
      <c r="C162" s="1">
        <v>4000000000</v>
      </c>
      <c r="E162" s="1">
        <f>+S162*10000</f>
        <v>242500</v>
      </c>
      <c r="F162" s="1">
        <f t="shared" si="22"/>
        <v>16494.845360824744</v>
      </c>
      <c r="G162" s="1">
        <f t="shared" si="23"/>
        <v>8247.4226804123718</v>
      </c>
      <c r="H162" s="1">
        <f t="shared" si="24"/>
        <v>3298.9690721649486</v>
      </c>
      <c r="I162" s="1">
        <f t="shared" si="25"/>
        <v>1649.4845360824743</v>
      </c>
      <c r="J162" s="1">
        <f t="shared" si="26"/>
        <v>1099.6563573883161</v>
      </c>
      <c r="K162" s="1">
        <f t="shared" si="27"/>
        <v>549.82817869415805</v>
      </c>
      <c r="L162" s="1">
        <f t="shared" si="28"/>
        <v>164.94845360824743</v>
      </c>
      <c r="M162" s="4">
        <f t="shared" si="21"/>
        <v>2000000</v>
      </c>
      <c r="N162" s="4"/>
      <c r="O162" s="8"/>
      <c r="P162">
        <v>161</v>
      </c>
      <c r="Q162" s="1">
        <v>56000000000</v>
      </c>
      <c r="R162" s="4">
        <v>2000000</v>
      </c>
      <c r="S162">
        <f>ROUND(1.02^A162,2)</f>
        <v>24.25</v>
      </c>
      <c r="T162" t="str">
        <f t="shared" si="20"/>
        <v>161,56000000000,2000000,24,25</v>
      </c>
    </row>
    <row r="163" spans="1:20" x14ac:dyDescent="0.25">
      <c r="A163">
        <f t="shared" si="29"/>
        <v>162</v>
      </c>
      <c r="B163" s="1">
        <v>60000000000</v>
      </c>
      <c r="C163" s="1">
        <v>4000000000</v>
      </c>
      <c r="E163" s="1">
        <f>+S163*10000</f>
        <v>247300</v>
      </c>
      <c r="F163" s="1">
        <f t="shared" si="22"/>
        <v>20218.358269308534</v>
      </c>
      <c r="G163" s="1">
        <f t="shared" si="23"/>
        <v>10109.179134654267</v>
      </c>
      <c r="H163" s="1">
        <f t="shared" si="24"/>
        <v>4043.6716538617065</v>
      </c>
      <c r="I163" s="1">
        <f t="shared" si="25"/>
        <v>2021.8358269308533</v>
      </c>
      <c r="J163" s="1">
        <f t="shared" si="26"/>
        <v>1347.8905512872354</v>
      </c>
      <c r="K163" s="1">
        <f t="shared" si="27"/>
        <v>673.94527564361772</v>
      </c>
      <c r="L163" s="1">
        <f t="shared" si="28"/>
        <v>202.18358269308533</v>
      </c>
      <c r="M163" s="4">
        <f t="shared" si="21"/>
        <v>2500000</v>
      </c>
      <c r="N163" s="4"/>
      <c r="O163" s="8"/>
      <c r="P163">
        <v>162</v>
      </c>
      <c r="Q163" s="1">
        <v>60000000000</v>
      </c>
      <c r="R163" s="4">
        <v>2500000</v>
      </c>
      <c r="S163">
        <f>ROUND(1.02^A163,2)</f>
        <v>24.73</v>
      </c>
      <c r="T163" t="str">
        <f t="shared" si="20"/>
        <v>162,60000000000,2500000,24,73</v>
      </c>
    </row>
    <row r="164" spans="1:20" x14ac:dyDescent="0.25">
      <c r="A164">
        <f t="shared" si="29"/>
        <v>163</v>
      </c>
      <c r="B164" s="1">
        <v>65000000000</v>
      </c>
      <c r="C164" s="1">
        <v>5000000000</v>
      </c>
      <c r="E164" s="1">
        <f>+S164*10000</f>
        <v>252200</v>
      </c>
      <c r="F164" s="1">
        <f t="shared" si="22"/>
        <v>19825.535289452815</v>
      </c>
      <c r="G164" s="1">
        <f t="shared" si="23"/>
        <v>9912.7676447264075</v>
      </c>
      <c r="H164" s="1">
        <f t="shared" si="24"/>
        <v>3965.1070578905628</v>
      </c>
      <c r="I164" s="1">
        <f t="shared" si="25"/>
        <v>1982.5535289452814</v>
      </c>
      <c r="J164" s="1">
        <f t="shared" si="26"/>
        <v>1321.7023526301878</v>
      </c>
      <c r="K164" s="1">
        <f t="shared" si="27"/>
        <v>660.85117631509388</v>
      </c>
      <c r="L164" s="1">
        <f t="shared" si="28"/>
        <v>198.25535289452816</v>
      </c>
      <c r="M164" s="4">
        <f t="shared" si="21"/>
        <v>2500000</v>
      </c>
      <c r="N164" s="4"/>
      <c r="O164" s="8"/>
      <c r="P164">
        <v>163</v>
      </c>
      <c r="Q164" s="1">
        <v>65000000000</v>
      </c>
      <c r="R164" s="4">
        <v>2500000</v>
      </c>
      <c r="S164">
        <f>ROUND(1.02^A164,2)</f>
        <v>25.22</v>
      </c>
      <c r="T164" t="str">
        <f t="shared" si="20"/>
        <v>163,65000000000,2500000,25,22</v>
      </c>
    </row>
    <row r="165" spans="1:20" x14ac:dyDescent="0.25">
      <c r="A165">
        <f t="shared" si="29"/>
        <v>164</v>
      </c>
      <c r="B165" s="1">
        <v>70000000000</v>
      </c>
      <c r="C165" s="1">
        <v>5000000000</v>
      </c>
      <c r="E165" s="1">
        <f>+S165*10000</f>
        <v>257300</v>
      </c>
      <c r="F165" s="1">
        <f t="shared" si="22"/>
        <v>23319.082782743877</v>
      </c>
      <c r="G165" s="1">
        <f t="shared" si="23"/>
        <v>11659.541391371939</v>
      </c>
      <c r="H165" s="1">
        <f t="shared" si="24"/>
        <v>4663.8165565487761</v>
      </c>
      <c r="I165" s="1">
        <f t="shared" si="25"/>
        <v>2331.9082782743881</v>
      </c>
      <c r="J165" s="1">
        <f t="shared" si="26"/>
        <v>1554.6055188495918</v>
      </c>
      <c r="K165" s="1">
        <f t="shared" si="27"/>
        <v>777.30275942479591</v>
      </c>
      <c r="L165" s="1">
        <f t="shared" si="28"/>
        <v>233.1908278274388</v>
      </c>
      <c r="M165" s="4">
        <f t="shared" si="21"/>
        <v>3000000</v>
      </c>
      <c r="N165" s="4"/>
      <c r="O165" s="8"/>
      <c r="P165">
        <v>164</v>
      </c>
      <c r="Q165" s="1">
        <v>70000000000</v>
      </c>
      <c r="R165" s="4">
        <v>3000000</v>
      </c>
      <c r="S165">
        <f>ROUND(1.02^A165,2)</f>
        <v>25.73</v>
      </c>
      <c r="T165" t="str">
        <f t="shared" si="20"/>
        <v>164,70000000000,3000000,25,73</v>
      </c>
    </row>
    <row r="166" spans="1:20" x14ac:dyDescent="0.25">
      <c r="A166">
        <f t="shared" si="29"/>
        <v>165</v>
      </c>
      <c r="B166" s="1">
        <v>76000000000</v>
      </c>
      <c r="C166" s="1">
        <v>6000000000</v>
      </c>
      <c r="E166" s="1">
        <f>+S166*10000</f>
        <v>262400</v>
      </c>
      <c r="F166" s="1">
        <f t="shared" si="22"/>
        <v>22865.853658536584</v>
      </c>
      <c r="G166" s="1">
        <f t="shared" si="23"/>
        <v>11432.926829268292</v>
      </c>
      <c r="H166" s="1">
        <f t="shared" si="24"/>
        <v>4573.1707317073169</v>
      </c>
      <c r="I166" s="1">
        <f t="shared" si="25"/>
        <v>2286.5853658536585</v>
      </c>
      <c r="J166" s="1">
        <f t="shared" si="26"/>
        <v>1524.3902439024391</v>
      </c>
      <c r="K166" s="1">
        <f t="shared" si="27"/>
        <v>762.19512195121956</v>
      </c>
      <c r="L166" s="1">
        <f t="shared" si="28"/>
        <v>228.65853658536585</v>
      </c>
      <c r="M166" s="4">
        <f t="shared" si="21"/>
        <v>3000000</v>
      </c>
      <c r="N166" s="4"/>
      <c r="O166" s="8"/>
      <c r="P166">
        <v>165</v>
      </c>
      <c r="Q166" s="1">
        <v>76000000000</v>
      </c>
      <c r="R166" s="4">
        <v>3000000</v>
      </c>
      <c r="S166">
        <f>ROUND(1.02^A166,2)</f>
        <v>26.24</v>
      </c>
      <c r="T166" t="str">
        <f t="shared" si="20"/>
        <v>165,76000000000,3000000,26,24</v>
      </c>
    </row>
    <row r="167" spans="1:20" x14ac:dyDescent="0.25">
      <c r="A167">
        <f t="shared" si="29"/>
        <v>166</v>
      </c>
      <c r="B167" s="1">
        <v>82000000000</v>
      </c>
      <c r="C167" s="1">
        <v>6000000000</v>
      </c>
      <c r="E167" s="1">
        <f>+S167*10000</f>
        <v>267700</v>
      </c>
      <c r="F167" s="1">
        <f t="shared" si="22"/>
        <v>26148.673888681358</v>
      </c>
      <c r="G167" s="1">
        <f t="shared" si="23"/>
        <v>13074.336944340679</v>
      </c>
      <c r="H167" s="1">
        <f t="shared" si="24"/>
        <v>5229.734777736272</v>
      </c>
      <c r="I167" s="1">
        <f t="shared" si="25"/>
        <v>2614.867388868136</v>
      </c>
      <c r="J167" s="1">
        <f t="shared" si="26"/>
        <v>1743.2449259120906</v>
      </c>
      <c r="K167" s="1">
        <f t="shared" si="27"/>
        <v>871.6224629560453</v>
      </c>
      <c r="L167" s="1">
        <f t="shared" si="28"/>
        <v>261.48673888681361</v>
      </c>
      <c r="M167" s="4">
        <f t="shared" si="21"/>
        <v>3500000</v>
      </c>
      <c r="N167" s="4"/>
      <c r="O167" s="8"/>
      <c r="P167">
        <v>166</v>
      </c>
      <c r="Q167" s="1">
        <v>82000000000</v>
      </c>
      <c r="R167" s="4">
        <v>3500000</v>
      </c>
      <c r="S167">
        <f>ROUND(1.02^A167,2)</f>
        <v>26.77</v>
      </c>
      <c r="T167" t="str">
        <f t="shared" si="20"/>
        <v>166,82000000000,3500000,26,77</v>
      </c>
    </row>
    <row r="168" spans="1:20" x14ac:dyDescent="0.25">
      <c r="A168">
        <f t="shared" si="29"/>
        <v>167</v>
      </c>
      <c r="B168" s="1">
        <v>89000000000</v>
      </c>
      <c r="C168" s="1">
        <v>7000000000</v>
      </c>
      <c r="E168" s="1">
        <f>+S168*10000</f>
        <v>273000</v>
      </c>
      <c r="F168" s="1">
        <f t="shared" si="22"/>
        <v>25641.025641025641</v>
      </c>
      <c r="G168" s="1">
        <f t="shared" si="23"/>
        <v>12820.51282051282</v>
      </c>
      <c r="H168" s="1">
        <f t="shared" si="24"/>
        <v>5128.2051282051279</v>
      </c>
      <c r="I168" s="1">
        <f t="shared" si="25"/>
        <v>2564.102564102564</v>
      </c>
      <c r="J168" s="1">
        <f t="shared" si="26"/>
        <v>1709.4017094017095</v>
      </c>
      <c r="K168" s="1">
        <f t="shared" si="27"/>
        <v>854.70085470085473</v>
      </c>
      <c r="L168" s="1">
        <f t="shared" si="28"/>
        <v>256.41025641025641</v>
      </c>
      <c r="M168" s="4">
        <f t="shared" si="21"/>
        <v>3500000</v>
      </c>
      <c r="N168" s="4"/>
      <c r="O168" s="8"/>
      <c r="P168">
        <v>167</v>
      </c>
      <c r="Q168" s="1">
        <v>89000000000</v>
      </c>
      <c r="R168" s="4">
        <v>3500000</v>
      </c>
      <c r="S168">
        <f>ROUND(1.02^A168,2)</f>
        <v>27.3</v>
      </c>
      <c r="T168" t="str">
        <f t="shared" si="20"/>
        <v>167,89000000000,3500000,27,3</v>
      </c>
    </row>
    <row r="169" spans="1:20" x14ac:dyDescent="0.25">
      <c r="A169">
        <f t="shared" si="29"/>
        <v>168</v>
      </c>
      <c r="B169" s="1">
        <v>96000000000</v>
      </c>
      <c r="C169" s="1">
        <v>7000000000</v>
      </c>
      <c r="E169" s="1">
        <f>+S169*10000</f>
        <v>278500</v>
      </c>
      <c r="F169" s="1">
        <f t="shared" si="22"/>
        <v>28725.314183123879</v>
      </c>
      <c r="G169" s="1">
        <f t="shared" si="23"/>
        <v>14362.65709156194</v>
      </c>
      <c r="H169" s="1">
        <f t="shared" si="24"/>
        <v>5745.0628366247756</v>
      </c>
      <c r="I169" s="1">
        <f t="shared" si="25"/>
        <v>2872.5314183123878</v>
      </c>
      <c r="J169" s="1">
        <f t="shared" si="26"/>
        <v>1915.0209455415918</v>
      </c>
      <c r="K169" s="1">
        <f t="shared" si="27"/>
        <v>957.5104727707959</v>
      </c>
      <c r="L169" s="1">
        <f t="shared" si="28"/>
        <v>287.25314183123879</v>
      </c>
      <c r="M169" s="4">
        <f t="shared" si="21"/>
        <v>4000000</v>
      </c>
      <c r="N169" s="4"/>
      <c r="O169" s="8"/>
      <c r="P169">
        <v>168</v>
      </c>
      <c r="Q169" s="1">
        <v>96000000000</v>
      </c>
      <c r="R169" s="4">
        <v>4000000</v>
      </c>
      <c r="S169">
        <f>ROUND(1.02^A169,2)</f>
        <v>27.85</v>
      </c>
      <c r="T169" t="str">
        <f t="shared" si="20"/>
        <v>168,96000000000,4000000,27,85</v>
      </c>
    </row>
    <row r="170" spans="1:20" x14ac:dyDescent="0.25">
      <c r="A170">
        <f t="shared" si="29"/>
        <v>169</v>
      </c>
      <c r="B170" s="1">
        <v>104000000000</v>
      </c>
      <c r="C170" s="1">
        <v>8000000000</v>
      </c>
      <c r="E170" s="1">
        <f>+S170*10000</f>
        <v>284100</v>
      </c>
      <c r="F170" s="1">
        <f t="shared" si="22"/>
        <v>28159.098908834916</v>
      </c>
      <c r="G170" s="1">
        <f t="shared" si="23"/>
        <v>14079.549454417458</v>
      </c>
      <c r="H170" s="1">
        <f t="shared" si="24"/>
        <v>5631.8197817669834</v>
      </c>
      <c r="I170" s="1">
        <f t="shared" si="25"/>
        <v>2815.9098908834917</v>
      </c>
      <c r="J170" s="1">
        <f t="shared" si="26"/>
        <v>1877.2732605889944</v>
      </c>
      <c r="K170" s="1">
        <f t="shared" si="27"/>
        <v>938.63663029449719</v>
      </c>
      <c r="L170" s="1">
        <f t="shared" si="28"/>
        <v>281.59098908834915</v>
      </c>
      <c r="M170" s="4">
        <f t="shared" si="21"/>
        <v>4000000</v>
      </c>
      <c r="N170" s="4"/>
      <c r="O170" s="8"/>
      <c r="P170">
        <v>169</v>
      </c>
      <c r="Q170" s="1">
        <v>104000000000</v>
      </c>
      <c r="R170" s="4">
        <v>4000000</v>
      </c>
      <c r="S170">
        <f>ROUND(1.02^A170,2)</f>
        <v>28.41</v>
      </c>
      <c r="T170" t="str">
        <f t="shared" si="20"/>
        <v>169,104000000000,4000000,28,41</v>
      </c>
    </row>
    <row r="171" spans="1:20" x14ac:dyDescent="0.25">
      <c r="A171">
        <f t="shared" si="29"/>
        <v>170</v>
      </c>
      <c r="B171" s="1">
        <v>112000000000</v>
      </c>
      <c r="C171" s="1">
        <v>8000000000</v>
      </c>
      <c r="E171" s="1">
        <f>+S171*10000</f>
        <v>289800</v>
      </c>
      <c r="F171" s="1">
        <f t="shared" si="22"/>
        <v>31055.900621118013</v>
      </c>
      <c r="G171" s="1">
        <f t="shared" si="23"/>
        <v>15527.950310559007</v>
      </c>
      <c r="H171" s="1">
        <f t="shared" si="24"/>
        <v>6211.1801242236024</v>
      </c>
      <c r="I171" s="1">
        <f t="shared" si="25"/>
        <v>3105.5900621118012</v>
      </c>
      <c r="J171" s="1">
        <f t="shared" si="26"/>
        <v>2070.3933747412007</v>
      </c>
      <c r="K171" s="1">
        <f t="shared" si="27"/>
        <v>1035.1966873706003</v>
      </c>
      <c r="L171" s="1">
        <f t="shared" si="28"/>
        <v>310.55900621118013</v>
      </c>
      <c r="M171" s="4">
        <f t="shared" si="21"/>
        <v>4500000</v>
      </c>
      <c r="N171" s="4"/>
      <c r="O171" s="8"/>
      <c r="P171">
        <v>170</v>
      </c>
      <c r="Q171" s="1">
        <v>112000000000</v>
      </c>
      <c r="R171" s="4">
        <v>4500000</v>
      </c>
      <c r="S171">
        <f>ROUND(1.02^A171,2)</f>
        <v>28.98</v>
      </c>
      <c r="T171" t="str">
        <f t="shared" si="20"/>
        <v>170,112000000000,4500000,28,98</v>
      </c>
    </row>
    <row r="172" spans="1:20" x14ac:dyDescent="0.25">
      <c r="A172">
        <f t="shared" si="29"/>
        <v>171</v>
      </c>
      <c r="B172" s="1">
        <v>121000000000</v>
      </c>
      <c r="C172" s="1">
        <v>9000000000</v>
      </c>
      <c r="E172" s="1">
        <f>+S172*10000</f>
        <v>295500</v>
      </c>
      <c r="F172" s="1">
        <f t="shared" si="22"/>
        <v>30456.852791878173</v>
      </c>
      <c r="G172" s="1">
        <f t="shared" si="23"/>
        <v>15228.426395939086</v>
      </c>
      <c r="H172" s="1">
        <f t="shared" si="24"/>
        <v>6091.3705583756346</v>
      </c>
      <c r="I172" s="1">
        <f t="shared" si="25"/>
        <v>3045.6852791878173</v>
      </c>
      <c r="J172" s="1">
        <f t="shared" si="26"/>
        <v>2030.4568527918782</v>
      </c>
      <c r="K172" s="1">
        <f t="shared" si="27"/>
        <v>1015.2284263959391</v>
      </c>
      <c r="L172" s="1">
        <f t="shared" si="28"/>
        <v>304.56852791878174</v>
      </c>
      <c r="M172" s="4">
        <f t="shared" si="21"/>
        <v>4500000</v>
      </c>
      <c r="N172" s="4"/>
      <c r="O172" s="8"/>
      <c r="P172">
        <v>171</v>
      </c>
      <c r="Q172" s="1">
        <v>121000000000</v>
      </c>
      <c r="R172" s="4">
        <v>4500000</v>
      </c>
      <c r="S172">
        <f>ROUND(1.02^A172,2)</f>
        <v>29.55</v>
      </c>
      <c r="T172" t="str">
        <f t="shared" si="20"/>
        <v>171,121000000000,4500000,29,55</v>
      </c>
    </row>
    <row r="173" spans="1:20" x14ac:dyDescent="0.25">
      <c r="A173">
        <f t="shared" si="29"/>
        <v>172</v>
      </c>
      <c r="B173" s="1">
        <v>130000000000</v>
      </c>
      <c r="C173" s="1">
        <v>9000000000</v>
      </c>
      <c r="E173" s="1">
        <f>+S173*10000</f>
        <v>301500</v>
      </c>
      <c r="F173" s="1">
        <f t="shared" si="22"/>
        <v>33167.495854063018</v>
      </c>
      <c r="G173" s="1">
        <f t="shared" si="23"/>
        <v>16583.747927031509</v>
      </c>
      <c r="H173" s="1">
        <f t="shared" si="24"/>
        <v>6633.4991708126036</v>
      </c>
      <c r="I173" s="1">
        <f t="shared" si="25"/>
        <v>3316.7495854063018</v>
      </c>
      <c r="J173" s="1">
        <f t="shared" si="26"/>
        <v>2211.1663902708679</v>
      </c>
      <c r="K173" s="1">
        <f t="shared" si="27"/>
        <v>1105.5831951354339</v>
      </c>
      <c r="L173" s="1">
        <f t="shared" si="28"/>
        <v>331.6749585406302</v>
      </c>
      <c r="M173" s="4">
        <f t="shared" si="21"/>
        <v>5000000</v>
      </c>
      <c r="N173" s="4"/>
      <c r="O173" s="8"/>
      <c r="P173">
        <v>172</v>
      </c>
      <c r="Q173" s="1">
        <v>130000000000</v>
      </c>
      <c r="R173" s="4">
        <v>5000000</v>
      </c>
      <c r="S173">
        <f>ROUND(1.02^A173,2)</f>
        <v>30.15</v>
      </c>
      <c r="T173" t="str">
        <f t="shared" si="20"/>
        <v>172,130000000000,5000000,30,15</v>
      </c>
    </row>
    <row r="174" spans="1:20" x14ac:dyDescent="0.25">
      <c r="A174">
        <f t="shared" si="29"/>
        <v>173</v>
      </c>
      <c r="B174" s="1">
        <v>140000000000</v>
      </c>
      <c r="C174" s="1">
        <v>10000000000</v>
      </c>
      <c r="E174" s="1">
        <f>+S174*10000</f>
        <v>307500</v>
      </c>
      <c r="F174" s="1">
        <f t="shared" si="22"/>
        <v>32520.325203252032</v>
      </c>
      <c r="G174" s="1">
        <f t="shared" si="23"/>
        <v>16260.162601626016</v>
      </c>
      <c r="H174" s="1">
        <f t="shared" si="24"/>
        <v>6504.0650406504064</v>
      </c>
      <c r="I174" s="1">
        <f t="shared" si="25"/>
        <v>3252.0325203252032</v>
      </c>
      <c r="J174" s="1">
        <f t="shared" si="26"/>
        <v>2168.021680216802</v>
      </c>
      <c r="K174" s="1">
        <f t="shared" si="27"/>
        <v>1084.010840108401</v>
      </c>
      <c r="L174" s="1">
        <f t="shared" si="28"/>
        <v>325.20325203252031</v>
      </c>
      <c r="M174" s="4">
        <f t="shared" si="21"/>
        <v>5000000</v>
      </c>
      <c r="N174" s="4"/>
      <c r="O174" s="8"/>
      <c r="P174">
        <v>173</v>
      </c>
      <c r="Q174" s="1">
        <v>140000000000</v>
      </c>
      <c r="R174" s="4">
        <v>5000000</v>
      </c>
      <c r="S174">
        <f>ROUND(1.02^A174,2)</f>
        <v>30.75</v>
      </c>
      <c r="T174" t="str">
        <f t="shared" si="20"/>
        <v>173,140000000000,5000000,30,75</v>
      </c>
    </row>
    <row r="175" spans="1:20" x14ac:dyDescent="0.25">
      <c r="A175">
        <f t="shared" si="29"/>
        <v>174</v>
      </c>
      <c r="B175" s="1">
        <v>150000000000</v>
      </c>
      <c r="C175" s="1">
        <v>10000000000</v>
      </c>
      <c r="E175" s="1">
        <f>+S175*10000</f>
        <v>313600</v>
      </c>
      <c r="F175" s="1">
        <f t="shared" si="22"/>
        <v>31887.755102040817</v>
      </c>
      <c r="G175" s="1">
        <f t="shared" si="23"/>
        <v>15943.877551020409</v>
      </c>
      <c r="H175" s="1">
        <f t="shared" si="24"/>
        <v>6377.5510204081629</v>
      </c>
      <c r="I175" s="1">
        <f t="shared" si="25"/>
        <v>3188.7755102040815</v>
      </c>
      <c r="J175" s="1">
        <f t="shared" si="26"/>
        <v>2125.8503401360545</v>
      </c>
      <c r="K175" s="1">
        <f t="shared" si="27"/>
        <v>1062.9251700680272</v>
      </c>
      <c r="L175" s="1">
        <f t="shared" si="28"/>
        <v>318.87755102040819</v>
      </c>
      <c r="M175" s="4">
        <f t="shared" si="21"/>
        <v>5000000</v>
      </c>
      <c r="N175" s="4"/>
      <c r="O175" s="8"/>
      <c r="P175">
        <v>174</v>
      </c>
      <c r="Q175" s="1">
        <v>150000000000</v>
      </c>
      <c r="R175" s="4">
        <v>5000000</v>
      </c>
      <c r="S175">
        <f>ROUND(1.02^A175,2)</f>
        <v>31.36</v>
      </c>
      <c r="T175" t="str">
        <f t="shared" si="20"/>
        <v>174,150000000000,5000000,31,36</v>
      </c>
    </row>
    <row r="176" spans="1:20" x14ac:dyDescent="0.25">
      <c r="A176">
        <f t="shared" si="29"/>
        <v>175</v>
      </c>
      <c r="B176" s="1">
        <v>160000000000</v>
      </c>
      <c r="C176" s="1">
        <v>10000000000</v>
      </c>
      <c r="E176" s="1">
        <f>+S176*10000</f>
        <v>319900</v>
      </c>
      <c r="F176" s="1">
        <f t="shared" si="22"/>
        <v>31259.768677711785</v>
      </c>
      <c r="G176" s="1">
        <f t="shared" si="23"/>
        <v>15629.884338855893</v>
      </c>
      <c r="H176" s="1">
        <f t="shared" si="24"/>
        <v>6251.9537355423572</v>
      </c>
      <c r="I176" s="1">
        <f t="shared" si="25"/>
        <v>3125.9768677711786</v>
      </c>
      <c r="J176" s="1">
        <f t="shared" si="26"/>
        <v>2083.9845785141192</v>
      </c>
      <c r="K176" s="1">
        <f t="shared" si="27"/>
        <v>1041.9922892570596</v>
      </c>
      <c r="L176" s="1">
        <f t="shared" si="28"/>
        <v>312.59768677711787</v>
      </c>
      <c r="M176" s="4">
        <f t="shared" si="21"/>
        <v>5000000</v>
      </c>
      <c r="N176" s="4"/>
      <c r="O176" s="8"/>
      <c r="P176">
        <v>175</v>
      </c>
      <c r="Q176" s="1">
        <v>160000000000</v>
      </c>
      <c r="R176" s="4">
        <v>5000000</v>
      </c>
      <c r="S176">
        <f>ROUND(1.02^A176,2)</f>
        <v>31.99</v>
      </c>
      <c r="T176" t="str">
        <f t="shared" si="20"/>
        <v>175,160000000000,5000000,31,99</v>
      </c>
    </row>
    <row r="177" spans="1:20" x14ac:dyDescent="0.25">
      <c r="A177">
        <f t="shared" si="29"/>
        <v>176</v>
      </c>
      <c r="B177" s="1">
        <v>170000000000</v>
      </c>
      <c r="C177" s="1">
        <v>10000000000</v>
      </c>
      <c r="E177" s="1">
        <f>+S177*10000</f>
        <v>326300</v>
      </c>
      <c r="F177" s="1">
        <f t="shared" si="22"/>
        <v>30646.644192460924</v>
      </c>
      <c r="G177" s="1">
        <f t="shared" si="23"/>
        <v>15323.322096230462</v>
      </c>
      <c r="H177" s="1">
        <f t="shared" si="24"/>
        <v>6129.3288384921852</v>
      </c>
      <c r="I177" s="1">
        <f t="shared" si="25"/>
        <v>3064.6644192460926</v>
      </c>
      <c r="J177" s="1">
        <f t="shared" si="26"/>
        <v>2043.1096128307283</v>
      </c>
      <c r="K177" s="1">
        <f t="shared" si="27"/>
        <v>1021.5548064153642</v>
      </c>
      <c r="L177" s="1">
        <f t="shared" si="28"/>
        <v>306.46644192460923</v>
      </c>
      <c r="M177" s="4">
        <f t="shared" si="21"/>
        <v>5000000</v>
      </c>
      <c r="N177" s="4"/>
      <c r="O177" s="8"/>
      <c r="P177">
        <v>176</v>
      </c>
      <c r="Q177" s="1">
        <v>170000000000</v>
      </c>
      <c r="R177" s="4">
        <v>5000000</v>
      </c>
      <c r="S177">
        <f>ROUND(1.02^A177,2)</f>
        <v>32.630000000000003</v>
      </c>
      <c r="T177" t="str">
        <f t="shared" si="20"/>
        <v>176,170000000000,5000000,32,63</v>
      </c>
    </row>
    <row r="178" spans="1:20" x14ac:dyDescent="0.25">
      <c r="A178">
        <f t="shared" si="29"/>
        <v>177</v>
      </c>
      <c r="B178" s="1">
        <v>180000000000</v>
      </c>
      <c r="C178" s="1">
        <v>10000000000</v>
      </c>
      <c r="E178" s="1">
        <f>+S178*10000</f>
        <v>332800</v>
      </c>
      <c r="F178" s="1">
        <f t="shared" si="22"/>
        <v>60096.153846153844</v>
      </c>
      <c r="G178" s="1">
        <f t="shared" si="23"/>
        <v>30048.076923076922</v>
      </c>
      <c r="H178" s="1">
        <f t="shared" si="24"/>
        <v>12019.23076923077</v>
      </c>
      <c r="I178" s="1">
        <f t="shared" si="25"/>
        <v>6009.6153846153848</v>
      </c>
      <c r="J178" s="1">
        <f t="shared" si="26"/>
        <v>4006.4102564102564</v>
      </c>
      <c r="K178" s="1">
        <f t="shared" si="27"/>
        <v>2003.2051282051282</v>
      </c>
      <c r="L178" s="1">
        <f t="shared" si="28"/>
        <v>600.96153846153845</v>
      </c>
      <c r="M178" s="4">
        <f t="shared" si="21"/>
        <v>10000000</v>
      </c>
      <c r="N178" s="4"/>
      <c r="O178" s="8"/>
      <c r="P178">
        <v>177</v>
      </c>
      <c r="Q178" s="1">
        <v>180000000000</v>
      </c>
      <c r="R178" s="4">
        <v>10000000</v>
      </c>
      <c r="S178">
        <f>ROUND(1.02^A178,2)</f>
        <v>33.28</v>
      </c>
      <c r="T178" t="str">
        <f t="shared" si="20"/>
        <v>177,180000000000,10000000,33,28</v>
      </c>
    </row>
    <row r="179" spans="1:20" x14ac:dyDescent="0.25">
      <c r="A179">
        <f t="shared" si="29"/>
        <v>178</v>
      </c>
      <c r="B179" s="1">
        <v>200000000000</v>
      </c>
      <c r="C179" s="1">
        <v>20000000000</v>
      </c>
      <c r="E179" s="1">
        <f>+S179*10000</f>
        <v>339500</v>
      </c>
      <c r="F179" s="1">
        <f t="shared" si="22"/>
        <v>58910.162002945508</v>
      </c>
      <c r="G179" s="1">
        <f t="shared" si="23"/>
        <v>29455.081001472754</v>
      </c>
      <c r="H179" s="1">
        <f t="shared" si="24"/>
        <v>11782.032400589102</v>
      </c>
      <c r="I179" s="1">
        <f t="shared" si="25"/>
        <v>5891.0162002945508</v>
      </c>
      <c r="J179" s="1">
        <f t="shared" si="26"/>
        <v>3927.3441335297007</v>
      </c>
      <c r="K179" s="1">
        <f t="shared" si="27"/>
        <v>1963.6720667648503</v>
      </c>
      <c r="L179" s="1">
        <f t="shared" si="28"/>
        <v>589.10162002945503</v>
      </c>
      <c r="M179" s="4">
        <f t="shared" si="21"/>
        <v>10000000</v>
      </c>
      <c r="N179" s="4"/>
      <c r="O179" s="8"/>
      <c r="P179">
        <v>178</v>
      </c>
      <c r="Q179" s="1">
        <v>200000000000</v>
      </c>
      <c r="R179" s="4">
        <v>10000000</v>
      </c>
      <c r="S179">
        <f>ROUND(1.02^A179,2)</f>
        <v>33.950000000000003</v>
      </c>
      <c r="T179" t="str">
        <f t="shared" si="20"/>
        <v>178,200000000000,10000000,33,95</v>
      </c>
    </row>
    <row r="180" spans="1:20" x14ac:dyDescent="0.25">
      <c r="A180">
        <f t="shared" si="29"/>
        <v>179</v>
      </c>
      <c r="B180" s="1">
        <v>220000000000</v>
      </c>
      <c r="C180" s="1">
        <v>20000000000</v>
      </c>
      <c r="E180" s="1">
        <f>+S180*10000</f>
        <v>346300</v>
      </c>
      <c r="F180" s="1">
        <f t="shared" si="22"/>
        <v>57753.393011839449</v>
      </c>
      <c r="G180" s="1">
        <f t="shared" si="23"/>
        <v>28876.696505919725</v>
      </c>
      <c r="H180" s="1">
        <f t="shared" si="24"/>
        <v>11550.678602367889</v>
      </c>
      <c r="I180" s="1">
        <f t="shared" si="25"/>
        <v>5775.3393011839444</v>
      </c>
      <c r="J180" s="1">
        <f t="shared" si="26"/>
        <v>3850.2262007892964</v>
      </c>
      <c r="K180" s="1">
        <f t="shared" si="27"/>
        <v>1925.1131003946482</v>
      </c>
      <c r="L180" s="1">
        <f t="shared" si="28"/>
        <v>577.53393011839444</v>
      </c>
      <c r="M180" s="4">
        <f t="shared" si="21"/>
        <v>10000000</v>
      </c>
      <c r="N180" s="4"/>
      <c r="O180" s="8"/>
      <c r="P180">
        <v>179</v>
      </c>
      <c r="Q180" s="1">
        <v>220000000000</v>
      </c>
      <c r="R180" s="4">
        <v>10000000</v>
      </c>
      <c r="S180">
        <f>ROUND(1.02^A180,2)</f>
        <v>34.630000000000003</v>
      </c>
      <c r="T180" t="str">
        <f t="shared" si="20"/>
        <v>179,220000000000,10000000,34,63</v>
      </c>
    </row>
    <row r="181" spans="1:20" x14ac:dyDescent="0.25">
      <c r="A181">
        <f t="shared" si="29"/>
        <v>180</v>
      </c>
      <c r="B181" s="1">
        <v>240000000000</v>
      </c>
      <c r="C181" s="1">
        <v>20000000000</v>
      </c>
      <c r="E181" s="1">
        <f>+S181*10000</f>
        <v>353200</v>
      </c>
      <c r="F181" s="1">
        <f t="shared" si="22"/>
        <v>56625.141562853911</v>
      </c>
      <c r="G181" s="1">
        <f t="shared" si="23"/>
        <v>28312.570781426955</v>
      </c>
      <c r="H181" s="1">
        <f t="shared" si="24"/>
        <v>11325.028312570781</v>
      </c>
      <c r="I181" s="1">
        <f t="shared" si="25"/>
        <v>5662.5141562853905</v>
      </c>
      <c r="J181" s="1">
        <f t="shared" si="26"/>
        <v>3775.009437523594</v>
      </c>
      <c r="K181" s="1">
        <f t="shared" si="27"/>
        <v>1887.504718761797</v>
      </c>
      <c r="L181" s="1">
        <f t="shared" si="28"/>
        <v>566.25141562853912</v>
      </c>
      <c r="M181" s="4">
        <f t="shared" si="21"/>
        <v>10000000</v>
      </c>
      <c r="N181" s="4"/>
      <c r="O181" s="8"/>
      <c r="P181">
        <v>180</v>
      </c>
      <c r="Q181" s="1">
        <v>240000000000</v>
      </c>
      <c r="R181" s="4">
        <v>10000000</v>
      </c>
      <c r="S181">
        <f>ROUND(1.02^A181,2)</f>
        <v>35.32</v>
      </c>
      <c r="T181" t="str">
        <f t="shared" si="20"/>
        <v>180,240000000000,10000000,35,32</v>
      </c>
    </row>
    <row r="182" spans="1:20" x14ac:dyDescent="0.25">
      <c r="A182">
        <f t="shared" si="29"/>
        <v>181</v>
      </c>
      <c r="B182" s="1">
        <v>260000000000</v>
      </c>
      <c r="C182" s="1">
        <v>20000000000</v>
      </c>
      <c r="E182" s="1">
        <f>+S182*10000</f>
        <v>360300</v>
      </c>
      <c r="F182" s="1">
        <f t="shared" si="22"/>
        <v>55509.29780738274</v>
      </c>
      <c r="G182" s="1">
        <f t="shared" si="23"/>
        <v>27754.64890369137</v>
      </c>
      <c r="H182" s="1">
        <f t="shared" si="24"/>
        <v>11101.859561476547</v>
      </c>
      <c r="I182" s="1">
        <f t="shared" si="25"/>
        <v>5550.9297807382736</v>
      </c>
      <c r="J182" s="1">
        <f t="shared" si="26"/>
        <v>3700.6198538255157</v>
      </c>
      <c r="K182" s="1">
        <f t="shared" si="27"/>
        <v>1850.3099269127579</v>
      </c>
      <c r="L182" s="1">
        <f t="shared" si="28"/>
        <v>555.09297807382734</v>
      </c>
      <c r="M182" s="4">
        <f t="shared" si="21"/>
        <v>10000000</v>
      </c>
      <c r="N182" s="4"/>
      <c r="O182" s="8"/>
      <c r="P182">
        <v>181</v>
      </c>
      <c r="Q182" s="1">
        <v>260000000000</v>
      </c>
      <c r="R182" s="4">
        <v>10000000</v>
      </c>
      <c r="S182">
        <f>ROUND(1.02^A182,2)</f>
        <v>36.03</v>
      </c>
      <c r="T182" t="str">
        <f t="shared" si="20"/>
        <v>181,260000000000,10000000,36,03</v>
      </c>
    </row>
    <row r="183" spans="1:20" x14ac:dyDescent="0.25">
      <c r="A183">
        <f t="shared" si="29"/>
        <v>182</v>
      </c>
      <c r="B183" s="1">
        <v>280000000000</v>
      </c>
      <c r="C183" s="1">
        <v>20000000000</v>
      </c>
      <c r="E183" s="1">
        <f>+S183*10000</f>
        <v>367500</v>
      </c>
      <c r="F183" s="1">
        <f t="shared" si="22"/>
        <v>54421.768707482996</v>
      </c>
      <c r="G183" s="1">
        <f t="shared" si="23"/>
        <v>27210.884353741498</v>
      </c>
      <c r="H183" s="1">
        <f t="shared" si="24"/>
        <v>10884.353741496599</v>
      </c>
      <c r="I183" s="1">
        <f t="shared" si="25"/>
        <v>5442.1768707482997</v>
      </c>
      <c r="J183" s="1">
        <f t="shared" si="26"/>
        <v>3628.1179138321995</v>
      </c>
      <c r="K183" s="1">
        <f t="shared" si="27"/>
        <v>1814.0589569160998</v>
      </c>
      <c r="L183" s="1">
        <f t="shared" si="28"/>
        <v>544.21768707482988</v>
      </c>
      <c r="M183" s="4">
        <f t="shared" si="21"/>
        <v>10000000</v>
      </c>
      <c r="N183" s="4"/>
      <c r="O183" s="8"/>
      <c r="P183">
        <v>182</v>
      </c>
      <c r="Q183" s="1">
        <v>280000000000</v>
      </c>
      <c r="R183" s="4">
        <v>10000000</v>
      </c>
      <c r="S183">
        <f>ROUND(1.02^A183,2)</f>
        <v>36.75</v>
      </c>
      <c r="T183" t="str">
        <f t="shared" si="20"/>
        <v>182,280000000000,10000000,36,75</v>
      </c>
    </row>
    <row r="184" spans="1:20" x14ac:dyDescent="0.25">
      <c r="A184">
        <f t="shared" si="29"/>
        <v>183</v>
      </c>
      <c r="B184" s="1">
        <v>300000000000</v>
      </c>
      <c r="C184" s="1">
        <v>20000000000</v>
      </c>
      <c r="E184" s="1">
        <f>+S184*10000</f>
        <v>374799.99999999994</v>
      </c>
      <c r="F184" s="1">
        <f t="shared" si="22"/>
        <v>53361.792956243335</v>
      </c>
      <c r="G184" s="1">
        <f t="shared" si="23"/>
        <v>26680.896478121667</v>
      </c>
      <c r="H184" s="1">
        <f t="shared" si="24"/>
        <v>10672.358591248667</v>
      </c>
      <c r="I184" s="1">
        <f t="shared" si="25"/>
        <v>5336.1792956243335</v>
      </c>
      <c r="J184" s="1">
        <f t="shared" si="26"/>
        <v>3557.4528637495559</v>
      </c>
      <c r="K184" s="1">
        <f t="shared" si="27"/>
        <v>1778.726431874778</v>
      </c>
      <c r="L184" s="1">
        <f t="shared" si="28"/>
        <v>533.61792956243346</v>
      </c>
      <c r="M184" s="4">
        <f t="shared" si="21"/>
        <v>10000000</v>
      </c>
      <c r="N184" s="4"/>
      <c r="O184" s="8"/>
      <c r="P184">
        <v>183</v>
      </c>
      <c r="Q184" s="1">
        <v>300000000000</v>
      </c>
      <c r="R184" s="4">
        <v>10000000</v>
      </c>
      <c r="S184">
        <f>ROUND(1.02^A184,2)</f>
        <v>37.479999999999997</v>
      </c>
      <c r="T184" t="str">
        <f t="shared" si="20"/>
        <v>183,300000000000,10000000,37,48</v>
      </c>
    </row>
    <row r="185" spans="1:20" x14ac:dyDescent="0.25">
      <c r="A185">
        <f t="shared" si="29"/>
        <v>184</v>
      </c>
      <c r="B185" s="1">
        <v>320000000000</v>
      </c>
      <c r="C185" s="1">
        <v>20000000000</v>
      </c>
      <c r="E185" s="1">
        <f>+S185*10000</f>
        <v>382299.99999999994</v>
      </c>
      <c r="F185" s="1">
        <f t="shared" si="22"/>
        <v>52314.93591420351</v>
      </c>
      <c r="G185" s="1">
        <f t="shared" si="23"/>
        <v>26157.467957101755</v>
      </c>
      <c r="H185" s="1">
        <f t="shared" si="24"/>
        <v>10462.987182840703</v>
      </c>
      <c r="I185" s="1">
        <f t="shared" si="25"/>
        <v>5231.4935914203515</v>
      </c>
      <c r="J185" s="1">
        <f t="shared" si="26"/>
        <v>3487.6623942802344</v>
      </c>
      <c r="K185" s="1">
        <f t="shared" si="27"/>
        <v>1743.8311971401172</v>
      </c>
      <c r="L185" s="1">
        <f t="shared" si="28"/>
        <v>523.14935914203511</v>
      </c>
      <c r="M185" s="4">
        <f t="shared" si="21"/>
        <v>10000000</v>
      </c>
      <c r="N185" s="4"/>
      <c r="O185" s="8"/>
      <c r="P185">
        <v>184</v>
      </c>
      <c r="Q185" s="1">
        <v>320000000000</v>
      </c>
      <c r="R185" s="4">
        <v>10000000</v>
      </c>
      <c r="S185">
        <f>ROUND(1.02^A185,2)</f>
        <v>38.229999999999997</v>
      </c>
      <c r="T185" t="str">
        <f t="shared" si="20"/>
        <v>184,320000000000,10000000,38,23</v>
      </c>
    </row>
    <row r="186" spans="1:20" x14ac:dyDescent="0.25">
      <c r="A186">
        <f t="shared" si="29"/>
        <v>185</v>
      </c>
      <c r="B186" s="1">
        <v>340000000000</v>
      </c>
      <c r="C186" s="1">
        <v>20000000000</v>
      </c>
      <c r="E186" s="1">
        <f>+S186*10000</f>
        <v>390000</v>
      </c>
      <c r="F186" s="1">
        <f t="shared" si="22"/>
        <v>51282.051282051281</v>
      </c>
      <c r="G186" s="1">
        <f t="shared" si="23"/>
        <v>25641.025641025641</v>
      </c>
      <c r="H186" s="1">
        <f t="shared" si="24"/>
        <v>10256.410256410256</v>
      </c>
      <c r="I186" s="1">
        <f t="shared" si="25"/>
        <v>5128.2051282051279</v>
      </c>
      <c r="J186" s="1">
        <f t="shared" si="26"/>
        <v>3418.8034188034189</v>
      </c>
      <c r="K186" s="1">
        <f t="shared" si="27"/>
        <v>1709.4017094017095</v>
      </c>
      <c r="L186" s="1">
        <f t="shared" si="28"/>
        <v>512.82051282051282</v>
      </c>
      <c r="M186" s="4">
        <f t="shared" si="21"/>
        <v>10000000</v>
      </c>
      <c r="N186" s="4"/>
      <c r="O186" s="8"/>
      <c r="P186">
        <v>185</v>
      </c>
      <c r="Q186" s="1">
        <v>340000000000</v>
      </c>
      <c r="R186" s="4">
        <v>10000000</v>
      </c>
      <c r="S186">
        <f>ROUND(1.02^A186,2)</f>
        <v>39</v>
      </c>
      <c r="T186" t="str">
        <f t="shared" si="20"/>
        <v>185,340000000000,10000000,39</v>
      </c>
    </row>
    <row r="187" spans="1:20" x14ac:dyDescent="0.25">
      <c r="A187">
        <f t="shared" si="29"/>
        <v>186</v>
      </c>
      <c r="B187" s="1">
        <v>360000000000</v>
      </c>
      <c r="C187" s="1">
        <v>20000000000</v>
      </c>
      <c r="E187" s="1">
        <f>+S187*10000</f>
        <v>397800</v>
      </c>
      <c r="F187" s="1">
        <f t="shared" si="22"/>
        <v>50276.520864756159</v>
      </c>
      <c r="G187" s="1">
        <f t="shared" si="23"/>
        <v>25138.26043237808</v>
      </c>
      <c r="H187" s="1">
        <f t="shared" si="24"/>
        <v>10055.304172951232</v>
      </c>
      <c r="I187" s="1">
        <f t="shared" si="25"/>
        <v>5027.6520864756158</v>
      </c>
      <c r="J187" s="1">
        <f t="shared" si="26"/>
        <v>3351.7680576504108</v>
      </c>
      <c r="K187" s="1">
        <f t="shared" si="27"/>
        <v>1675.8840288252054</v>
      </c>
      <c r="L187" s="1">
        <f t="shared" si="28"/>
        <v>502.76520864756156</v>
      </c>
      <c r="M187" s="4">
        <f t="shared" si="21"/>
        <v>10000000</v>
      </c>
      <c r="N187" s="4"/>
      <c r="O187" s="8"/>
      <c r="P187">
        <v>186</v>
      </c>
      <c r="Q187" s="1">
        <v>360000000000</v>
      </c>
      <c r="R187" s="4">
        <v>10000000</v>
      </c>
      <c r="S187">
        <f>ROUND(1.02^A187,2)</f>
        <v>39.78</v>
      </c>
      <c r="T187" t="str">
        <f t="shared" si="20"/>
        <v>186,360000000000,10000000,39,78</v>
      </c>
    </row>
    <row r="188" spans="1:20" x14ac:dyDescent="0.25">
      <c r="A188">
        <f t="shared" si="29"/>
        <v>187</v>
      </c>
      <c r="B188" s="1">
        <v>380000000000</v>
      </c>
      <c r="C188" s="1">
        <v>20000000000</v>
      </c>
      <c r="E188" s="1">
        <f>+S188*10000</f>
        <v>405700</v>
      </c>
      <c r="F188" s="1">
        <f t="shared" si="22"/>
        <v>49297.510475720977</v>
      </c>
      <c r="G188" s="1">
        <f t="shared" si="23"/>
        <v>24648.755237860489</v>
      </c>
      <c r="H188" s="1">
        <f t="shared" si="24"/>
        <v>9859.5020951441948</v>
      </c>
      <c r="I188" s="1">
        <f t="shared" si="25"/>
        <v>4929.7510475720974</v>
      </c>
      <c r="J188" s="1">
        <f t="shared" si="26"/>
        <v>3286.5006983813983</v>
      </c>
      <c r="K188" s="1">
        <f t="shared" si="27"/>
        <v>1643.2503491906991</v>
      </c>
      <c r="L188" s="1">
        <f t="shared" si="28"/>
        <v>492.97510475720975</v>
      </c>
      <c r="M188" s="4">
        <f t="shared" si="21"/>
        <v>10000000</v>
      </c>
      <c r="N188" s="4"/>
      <c r="O188" s="8"/>
      <c r="P188">
        <v>187</v>
      </c>
      <c r="Q188" s="1">
        <v>380000000000</v>
      </c>
      <c r="R188" s="4">
        <v>10000000</v>
      </c>
      <c r="S188">
        <f>ROUND(1.02^A188,2)</f>
        <v>40.57</v>
      </c>
      <c r="T188" t="str">
        <f t="shared" si="20"/>
        <v>187,380000000000,10000000,40,57</v>
      </c>
    </row>
    <row r="189" spans="1:20" x14ac:dyDescent="0.25">
      <c r="A189">
        <f t="shared" si="29"/>
        <v>188</v>
      </c>
      <c r="B189" s="1">
        <v>400000000000</v>
      </c>
      <c r="C189" s="1">
        <v>20000000000</v>
      </c>
      <c r="E189" s="1">
        <f>+S189*10000</f>
        <v>413800</v>
      </c>
      <c r="F189" s="1">
        <f t="shared" si="22"/>
        <v>72498.791686805227</v>
      </c>
      <c r="G189" s="1">
        <f t="shared" si="23"/>
        <v>36249.395843402614</v>
      </c>
      <c r="H189" s="1">
        <f t="shared" si="24"/>
        <v>14499.758337361043</v>
      </c>
      <c r="I189" s="1">
        <f t="shared" si="25"/>
        <v>7249.8791686805216</v>
      </c>
      <c r="J189" s="1">
        <f t="shared" si="26"/>
        <v>4833.2527791203484</v>
      </c>
      <c r="K189" s="1">
        <f t="shared" si="27"/>
        <v>2416.6263895601742</v>
      </c>
      <c r="L189" s="1">
        <f t="shared" si="28"/>
        <v>724.98791686805225</v>
      </c>
      <c r="M189" s="4">
        <f t="shared" si="21"/>
        <v>15000000</v>
      </c>
      <c r="N189" s="4"/>
      <c r="O189" s="8"/>
      <c r="P189">
        <v>188</v>
      </c>
      <c r="Q189" s="1">
        <v>400000000000</v>
      </c>
      <c r="R189" s="4">
        <v>15000000</v>
      </c>
      <c r="S189">
        <f>ROUND(1.02^A189,2)</f>
        <v>41.38</v>
      </c>
      <c r="T189" t="str">
        <f t="shared" si="20"/>
        <v>188,400000000000,15000000,41,38</v>
      </c>
    </row>
    <row r="190" spans="1:20" x14ac:dyDescent="0.25">
      <c r="A190">
        <f t="shared" si="29"/>
        <v>189</v>
      </c>
      <c r="B190" s="1">
        <v>430000000000</v>
      </c>
      <c r="C190" s="1">
        <v>30000000000</v>
      </c>
      <c r="E190" s="1">
        <f>+S190*10000</f>
        <v>422100</v>
      </c>
      <c r="F190" s="1">
        <f t="shared" si="22"/>
        <v>71073.205401563609</v>
      </c>
      <c r="G190" s="1">
        <f t="shared" si="23"/>
        <v>35536.602700781805</v>
      </c>
      <c r="H190" s="1">
        <f t="shared" si="24"/>
        <v>14214.641080312722</v>
      </c>
      <c r="I190" s="1">
        <f t="shared" si="25"/>
        <v>7107.3205401563609</v>
      </c>
      <c r="J190" s="1">
        <f t="shared" si="26"/>
        <v>4738.213693437574</v>
      </c>
      <c r="K190" s="1">
        <f t="shared" si="27"/>
        <v>2369.106846718787</v>
      </c>
      <c r="L190" s="1">
        <f t="shared" si="28"/>
        <v>710.73205401563609</v>
      </c>
      <c r="M190" s="4">
        <f t="shared" si="21"/>
        <v>15000000</v>
      </c>
      <c r="N190" s="4"/>
      <c r="O190" s="8"/>
      <c r="P190">
        <v>189</v>
      </c>
      <c r="Q190" s="1">
        <v>430000000000</v>
      </c>
      <c r="R190" s="4">
        <v>15000000</v>
      </c>
      <c r="S190">
        <f>ROUND(1.02^A190,2)</f>
        <v>42.21</v>
      </c>
      <c r="T190" t="str">
        <f t="shared" si="20"/>
        <v>189,430000000000,15000000,42,21</v>
      </c>
    </row>
    <row r="191" spans="1:20" x14ac:dyDescent="0.25">
      <c r="A191">
        <f t="shared" si="29"/>
        <v>190</v>
      </c>
      <c r="B191" s="1">
        <v>460000000000</v>
      </c>
      <c r="C191" s="1">
        <v>30000000000</v>
      </c>
      <c r="E191" s="1">
        <f>+S191*10000</f>
        <v>430600</v>
      </c>
      <c r="F191" s="1">
        <f t="shared" si="22"/>
        <v>69670.227589410119</v>
      </c>
      <c r="G191" s="1">
        <f t="shared" si="23"/>
        <v>34835.113794705059</v>
      </c>
      <c r="H191" s="1">
        <f t="shared" si="24"/>
        <v>13934.045517882025</v>
      </c>
      <c r="I191" s="1">
        <f t="shared" si="25"/>
        <v>6967.0227589410124</v>
      </c>
      <c r="J191" s="1">
        <f t="shared" si="26"/>
        <v>4644.6818392940086</v>
      </c>
      <c r="K191" s="1">
        <f t="shared" si="27"/>
        <v>2322.3409196470043</v>
      </c>
      <c r="L191" s="1">
        <f t="shared" si="28"/>
        <v>696.70227589410126</v>
      </c>
      <c r="M191" s="4">
        <f t="shared" si="21"/>
        <v>15000000</v>
      </c>
      <c r="N191" s="4"/>
      <c r="O191" s="8"/>
      <c r="P191">
        <v>190</v>
      </c>
      <c r="Q191" s="1">
        <v>460000000000</v>
      </c>
      <c r="R191" s="4">
        <v>15000000</v>
      </c>
      <c r="S191">
        <f>ROUND(1.02^A191,2)</f>
        <v>43.06</v>
      </c>
      <c r="T191" t="str">
        <f t="shared" si="20"/>
        <v>190,460000000000,15000000,43,06</v>
      </c>
    </row>
    <row r="192" spans="1:20" x14ac:dyDescent="0.25">
      <c r="A192">
        <f t="shared" si="29"/>
        <v>191</v>
      </c>
      <c r="B192" s="1">
        <v>490000000000</v>
      </c>
      <c r="C192" s="1">
        <v>30000000000</v>
      </c>
      <c r="E192" s="1">
        <f>+S192*10000</f>
        <v>439200</v>
      </c>
      <c r="F192" s="1">
        <f t="shared" si="22"/>
        <v>68306.010928961754</v>
      </c>
      <c r="G192" s="1">
        <f t="shared" si="23"/>
        <v>34153.005464480877</v>
      </c>
      <c r="H192" s="1">
        <f t="shared" si="24"/>
        <v>13661.20218579235</v>
      </c>
      <c r="I192" s="1">
        <f t="shared" si="25"/>
        <v>6830.601092896175</v>
      </c>
      <c r="J192" s="1">
        <f t="shared" si="26"/>
        <v>4553.7340619307834</v>
      </c>
      <c r="K192" s="1">
        <f t="shared" si="27"/>
        <v>2276.8670309653917</v>
      </c>
      <c r="L192" s="1">
        <f t="shared" si="28"/>
        <v>683.06010928961746</v>
      </c>
      <c r="M192" s="4">
        <f t="shared" si="21"/>
        <v>15000000</v>
      </c>
      <c r="N192" s="4"/>
      <c r="O192" s="8"/>
      <c r="P192">
        <v>191</v>
      </c>
      <c r="Q192" s="1">
        <v>490000000000</v>
      </c>
      <c r="R192" s="4">
        <v>15000000</v>
      </c>
      <c r="S192">
        <f>ROUND(1.02^A192,2)</f>
        <v>43.92</v>
      </c>
      <c r="T192" t="str">
        <f t="shared" si="20"/>
        <v>191,490000000000,15000000,43,92</v>
      </c>
    </row>
    <row r="193" spans="1:20" x14ac:dyDescent="0.25">
      <c r="A193">
        <f t="shared" si="29"/>
        <v>192</v>
      </c>
      <c r="B193" s="1">
        <v>520000000000</v>
      </c>
      <c r="C193" s="1">
        <v>30000000000</v>
      </c>
      <c r="E193" s="1">
        <f>+S193*10000</f>
        <v>448000</v>
      </c>
      <c r="F193" s="1">
        <f t="shared" si="22"/>
        <v>89285.71428571429</v>
      </c>
      <c r="G193" s="1">
        <f t="shared" si="23"/>
        <v>44642.857142857145</v>
      </c>
      <c r="H193" s="1">
        <f t="shared" si="24"/>
        <v>17857.142857142859</v>
      </c>
      <c r="I193" s="1">
        <f t="shared" si="25"/>
        <v>8928.5714285714294</v>
      </c>
      <c r="J193" s="1">
        <f t="shared" si="26"/>
        <v>5952.3809523809523</v>
      </c>
      <c r="K193" s="1">
        <f t="shared" si="27"/>
        <v>2976.1904761904761</v>
      </c>
      <c r="L193" s="1">
        <f t="shared" si="28"/>
        <v>892.85714285714289</v>
      </c>
      <c r="M193" s="4">
        <f t="shared" si="21"/>
        <v>20000000</v>
      </c>
      <c r="N193" s="4"/>
      <c r="O193" s="8"/>
      <c r="P193">
        <v>192</v>
      </c>
      <c r="Q193" s="1">
        <v>520000000000</v>
      </c>
      <c r="R193" s="4">
        <v>20000000</v>
      </c>
      <c r="S193">
        <f>ROUND(1.02^A193,2)</f>
        <v>44.8</v>
      </c>
      <c r="T193" t="str">
        <f t="shared" si="20"/>
        <v>192,520000000000,20000000,44,8</v>
      </c>
    </row>
    <row r="194" spans="1:20" x14ac:dyDescent="0.25">
      <c r="A194">
        <f t="shared" si="29"/>
        <v>193</v>
      </c>
      <c r="B194" s="1">
        <v>560000000000</v>
      </c>
      <c r="C194" s="1">
        <v>40000000000</v>
      </c>
      <c r="E194" s="1">
        <f>+S194*10000</f>
        <v>456900</v>
      </c>
      <c r="F194" s="1">
        <f t="shared" si="22"/>
        <v>87546.509082950317</v>
      </c>
      <c r="G194" s="1">
        <f t="shared" si="23"/>
        <v>43773.254541475158</v>
      </c>
      <c r="H194" s="1">
        <f t="shared" si="24"/>
        <v>17509.301816590065</v>
      </c>
      <c r="I194" s="1">
        <f t="shared" si="25"/>
        <v>8754.6509082950324</v>
      </c>
      <c r="J194" s="1">
        <f t="shared" si="26"/>
        <v>5836.4339388633543</v>
      </c>
      <c r="K194" s="1">
        <f t="shared" si="27"/>
        <v>2918.2169694316772</v>
      </c>
      <c r="L194" s="1">
        <f t="shared" si="28"/>
        <v>875.4650908295032</v>
      </c>
      <c r="M194" s="4">
        <f t="shared" si="21"/>
        <v>20000000</v>
      </c>
      <c r="N194" s="4"/>
      <c r="O194" s="8"/>
      <c r="P194">
        <v>193</v>
      </c>
      <c r="Q194" s="1">
        <v>560000000000</v>
      </c>
      <c r="R194" s="4">
        <v>20000000</v>
      </c>
      <c r="S194">
        <f>ROUND(1.02^A194,2)</f>
        <v>45.69</v>
      </c>
      <c r="T194" t="str">
        <f t="shared" ref="T194:T257" si="30">P194&amp;","&amp;Q194&amp;","&amp;R194&amp;","&amp;S194</f>
        <v>193,560000000000,20000000,45,69</v>
      </c>
    </row>
    <row r="195" spans="1:20" x14ac:dyDescent="0.25">
      <c r="A195">
        <f t="shared" si="29"/>
        <v>194</v>
      </c>
      <c r="B195" s="1">
        <v>600000000000</v>
      </c>
      <c r="C195" s="1">
        <v>40000000000</v>
      </c>
      <c r="E195" s="1">
        <f>+S195*10000</f>
        <v>466100</v>
      </c>
      <c r="F195" s="1">
        <f t="shared" si="22"/>
        <v>107273.11735679039</v>
      </c>
      <c r="G195" s="1">
        <f t="shared" si="23"/>
        <v>53636.558678395195</v>
      </c>
      <c r="H195" s="1">
        <f t="shared" si="24"/>
        <v>21454.623471358078</v>
      </c>
      <c r="I195" s="1">
        <f t="shared" si="25"/>
        <v>10727.311735679039</v>
      </c>
      <c r="J195" s="1">
        <f t="shared" si="26"/>
        <v>7151.541157119359</v>
      </c>
      <c r="K195" s="1">
        <f t="shared" si="27"/>
        <v>3575.7705785596795</v>
      </c>
      <c r="L195" s="1">
        <f t="shared" si="28"/>
        <v>1072.7311735679039</v>
      </c>
      <c r="M195" s="4">
        <f t="shared" ref="M195:M258" si="31">ROUND(MAX(E196*6.3*10%,C196*0.05%),-MAX(2,INT(LOG10(MAX(E196*6.3*10%,C196*0.05%)))-2))</f>
        <v>25000000</v>
      </c>
      <c r="N195" s="4"/>
      <c r="O195" s="8"/>
      <c r="P195">
        <v>194</v>
      </c>
      <c r="Q195" s="1">
        <v>600000000000</v>
      </c>
      <c r="R195" s="4">
        <v>25000000</v>
      </c>
      <c r="S195">
        <f>ROUND(1.02^A195,2)</f>
        <v>46.61</v>
      </c>
      <c r="T195" t="str">
        <f t="shared" si="30"/>
        <v>194,600000000000,25000000,46,61</v>
      </c>
    </row>
    <row r="196" spans="1:20" x14ac:dyDescent="0.25">
      <c r="A196">
        <f t="shared" si="29"/>
        <v>195</v>
      </c>
      <c r="B196" s="1">
        <v>650000000000</v>
      </c>
      <c r="C196" s="1">
        <v>50000000000</v>
      </c>
      <c r="E196" s="1">
        <f>+S196*10000</f>
        <v>475400</v>
      </c>
      <c r="F196" s="1">
        <f t="shared" ref="F196:F259" si="32">$C197/($E196*1)</f>
        <v>105174.58981909971</v>
      </c>
      <c r="G196" s="1">
        <f t="shared" ref="G196:G259" si="33">$C197/($E196*2)</f>
        <v>52587.294909549855</v>
      </c>
      <c r="H196" s="1">
        <f t="shared" ref="H196:H259" si="34">$C197/($E196*5)</f>
        <v>21034.917963819942</v>
      </c>
      <c r="I196" s="1">
        <f t="shared" ref="I196:I259" si="35">$C197/($E196*10)</f>
        <v>10517.458981909971</v>
      </c>
      <c r="J196" s="1">
        <f t="shared" ref="J196:J259" si="36">$C197/($E196*15)</f>
        <v>7011.6393212733137</v>
      </c>
      <c r="K196" s="1">
        <f t="shared" ref="K196:K259" si="37">$C197/($E196*30)</f>
        <v>3505.8196606366569</v>
      </c>
      <c r="L196" s="1">
        <f t="shared" ref="L196:L259" si="38">$C197/($E196*100)</f>
        <v>1051.745898190997</v>
      </c>
      <c r="M196" s="4">
        <f t="shared" si="31"/>
        <v>25000000</v>
      </c>
      <c r="N196" s="4"/>
      <c r="O196" s="8"/>
      <c r="P196">
        <v>195</v>
      </c>
      <c r="Q196" s="1">
        <v>650000000000</v>
      </c>
      <c r="R196" s="4">
        <v>25000000</v>
      </c>
      <c r="S196">
        <f>ROUND(1.02^A196,2)</f>
        <v>47.54</v>
      </c>
      <c r="T196" t="str">
        <f t="shared" si="30"/>
        <v>195,650000000000,25000000,47,54</v>
      </c>
    </row>
    <row r="197" spans="1:20" x14ac:dyDescent="0.25">
      <c r="A197">
        <f t="shared" ref="A197:A260" si="39">+A196+1</f>
        <v>196</v>
      </c>
      <c r="B197" s="1">
        <v>700000000000</v>
      </c>
      <c r="C197" s="1">
        <v>50000000000</v>
      </c>
      <c r="E197" s="1">
        <f>+S197*10000</f>
        <v>484900</v>
      </c>
      <c r="F197" s="1">
        <f t="shared" si="32"/>
        <v>144359.66178593526</v>
      </c>
      <c r="G197" s="1">
        <f t="shared" si="33"/>
        <v>72179.830892967628</v>
      </c>
      <c r="H197" s="1">
        <f t="shared" si="34"/>
        <v>28871.932357187048</v>
      </c>
      <c r="I197" s="1">
        <f t="shared" si="35"/>
        <v>14435.966178593524</v>
      </c>
      <c r="J197" s="1">
        <f t="shared" si="36"/>
        <v>9623.9774523956821</v>
      </c>
      <c r="K197" s="1">
        <f t="shared" si="37"/>
        <v>4811.9887261978411</v>
      </c>
      <c r="L197" s="1">
        <f t="shared" si="38"/>
        <v>1443.5966178593524</v>
      </c>
      <c r="M197" s="4">
        <f t="shared" si="31"/>
        <v>35000000</v>
      </c>
      <c r="N197" s="4"/>
      <c r="O197" s="8"/>
      <c r="P197">
        <v>196</v>
      </c>
      <c r="Q197" s="1">
        <v>700000000000</v>
      </c>
      <c r="R197" s="4">
        <v>35000000</v>
      </c>
      <c r="S197">
        <f>ROUND(1.02^A197,2)</f>
        <v>48.49</v>
      </c>
      <c r="T197" t="str">
        <f t="shared" si="30"/>
        <v>196,700000000000,35000000,48,49</v>
      </c>
    </row>
    <row r="198" spans="1:20" x14ac:dyDescent="0.25">
      <c r="A198">
        <f t="shared" si="39"/>
        <v>197</v>
      </c>
      <c r="B198" s="1">
        <v>770000000000</v>
      </c>
      <c r="C198" s="1">
        <v>70000000000</v>
      </c>
      <c r="E198" s="1">
        <f>+S198*10000</f>
        <v>494600</v>
      </c>
      <c r="F198" s="1">
        <f t="shared" si="32"/>
        <v>141528.50788515972</v>
      </c>
      <c r="G198" s="1">
        <f t="shared" si="33"/>
        <v>70764.25394257986</v>
      </c>
      <c r="H198" s="1">
        <f t="shared" si="34"/>
        <v>28305.701577031945</v>
      </c>
      <c r="I198" s="1">
        <f t="shared" si="35"/>
        <v>14152.850788515972</v>
      </c>
      <c r="J198" s="1">
        <f t="shared" si="36"/>
        <v>9435.2338590106483</v>
      </c>
      <c r="K198" s="1">
        <f t="shared" si="37"/>
        <v>4717.6169295053242</v>
      </c>
      <c r="L198" s="1">
        <f t="shared" si="38"/>
        <v>1415.2850788515973</v>
      </c>
      <c r="M198" s="4">
        <f t="shared" si="31"/>
        <v>35000000</v>
      </c>
      <c r="N198" s="4"/>
      <c r="O198" s="8"/>
      <c r="P198">
        <v>197</v>
      </c>
      <c r="Q198" s="1">
        <v>770000000000</v>
      </c>
      <c r="R198" s="4">
        <v>35000000</v>
      </c>
      <c r="S198">
        <f>ROUND(1.02^A198,2)</f>
        <v>49.46</v>
      </c>
      <c r="T198" t="str">
        <f t="shared" si="30"/>
        <v>197,770000000000,35000000,49,46</v>
      </c>
    </row>
    <row r="199" spans="1:20" x14ac:dyDescent="0.25">
      <c r="A199">
        <f t="shared" si="39"/>
        <v>198</v>
      </c>
      <c r="B199" s="1">
        <v>840000000000</v>
      </c>
      <c r="C199" s="1">
        <v>70000000000</v>
      </c>
      <c r="E199" s="1">
        <f>+S199*10000</f>
        <v>504500</v>
      </c>
      <c r="F199" s="1">
        <f t="shared" si="32"/>
        <v>158572.84440039643</v>
      </c>
      <c r="G199" s="1">
        <f t="shared" si="33"/>
        <v>79286.422200198213</v>
      </c>
      <c r="H199" s="1">
        <f t="shared" si="34"/>
        <v>31714.568880079285</v>
      </c>
      <c r="I199" s="1">
        <f t="shared" si="35"/>
        <v>15857.284440039643</v>
      </c>
      <c r="J199" s="1">
        <f t="shared" si="36"/>
        <v>10571.522960026428</v>
      </c>
      <c r="K199" s="1">
        <f t="shared" si="37"/>
        <v>5285.7614800132142</v>
      </c>
      <c r="L199" s="1">
        <f t="shared" si="38"/>
        <v>1585.7284440039643</v>
      </c>
      <c r="M199" s="4">
        <f t="shared" si="31"/>
        <v>40000000</v>
      </c>
      <c r="N199" s="4"/>
      <c r="O199" s="8"/>
      <c r="P199">
        <v>198</v>
      </c>
      <c r="Q199" s="1">
        <v>840000000000</v>
      </c>
      <c r="R199" s="4">
        <v>40000000</v>
      </c>
      <c r="S199">
        <f>ROUND(1.02^A199,2)</f>
        <v>50.45</v>
      </c>
      <c r="T199" t="str">
        <f t="shared" si="30"/>
        <v>198,840000000000,40000000,50,45</v>
      </c>
    </row>
    <row r="200" spans="1:20" x14ac:dyDescent="0.25">
      <c r="A200">
        <f t="shared" si="39"/>
        <v>199</v>
      </c>
      <c r="B200" s="1">
        <v>920000000000</v>
      </c>
      <c r="C200" s="1">
        <v>80000000000</v>
      </c>
      <c r="E200" s="1">
        <f>+S200*10000</f>
        <v>514600</v>
      </c>
      <c r="F200" s="1">
        <f t="shared" si="32"/>
        <v>155460.55188495919</v>
      </c>
      <c r="G200" s="1">
        <f t="shared" si="33"/>
        <v>77730.275942479595</v>
      </c>
      <c r="H200" s="1">
        <f t="shared" si="34"/>
        <v>31092.110376991837</v>
      </c>
      <c r="I200" s="1">
        <f t="shared" si="35"/>
        <v>15546.055188495919</v>
      </c>
      <c r="J200" s="1">
        <f t="shared" si="36"/>
        <v>10364.036792330613</v>
      </c>
      <c r="K200" s="1">
        <f t="shared" si="37"/>
        <v>5182.0183961653065</v>
      </c>
      <c r="L200" s="1">
        <f t="shared" si="38"/>
        <v>1554.6055188495918</v>
      </c>
      <c r="M200" s="4">
        <f t="shared" si="31"/>
        <v>40000000</v>
      </c>
      <c r="N200" s="4"/>
      <c r="O200" s="8"/>
      <c r="P200">
        <v>199</v>
      </c>
      <c r="Q200" s="1">
        <v>920000000000</v>
      </c>
      <c r="R200" s="4">
        <v>40000000</v>
      </c>
      <c r="S200">
        <f>ROUND(1.02^A200,2)</f>
        <v>51.46</v>
      </c>
      <c r="T200" t="str">
        <f t="shared" si="30"/>
        <v>199,920000000000,40000000,51,46</v>
      </c>
    </row>
    <row r="201" spans="1:20" x14ac:dyDescent="0.25">
      <c r="A201">
        <f t="shared" si="39"/>
        <v>200</v>
      </c>
      <c r="B201" s="1">
        <v>1000000000000</v>
      </c>
      <c r="C201" s="1">
        <v>80000000000</v>
      </c>
      <c r="E201" s="1">
        <f>+S201*10000</f>
        <v>524800</v>
      </c>
      <c r="F201" s="1">
        <f t="shared" si="32"/>
        <v>152439.0243902439</v>
      </c>
      <c r="G201" s="1">
        <f t="shared" si="33"/>
        <v>76219.512195121948</v>
      </c>
      <c r="H201" s="1">
        <f t="shared" si="34"/>
        <v>30487.804878048781</v>
      </c>
      <c r="I201" s="1">
        <f t="shared" si="35"/>
        <v>15243.90243902439</v>
      </c>
      <c r="J201" s="1">
        <f t="shared" si="36"/>
        <v>10162.60162601626</v>
      </c>
      <c r="K201" s="1">
        <f t="shared" si="37"/>
        <v>5081.3008130081298</v>
      </c>
      <c r="L201" s="1">
        <f t="shared" si="38"/>
        <v>1524.3902439024391</v>
      </c>
      <c r="M201" s="4">
        <f t="shared" si="31"/>
        <v>40000000</v>
      </c>
      <c r="N201" s="4"/>
      <c r="O201" s="8"/>
      <c r="P201">
        <v>200</v>
      </c>
      <c r="Q201" s="1">
        <v>1000000000000</v>
      </c>
      <c r="R201" s="4">
        <v>40000000</v>
      </c>
      <c r="S201">
        <f>ROUND(1.02^A201,2)</f>
        <v>52.48</v>
      </c>
      <c r="T201" t="str">
        <f t="shared" si="30"/>
        <v>200,1000000000000,40000000,52,48</v>
      </c>
    </row>
    <row r="202" spans="1:20" x14ac:dyDescent="0.25">
      <c r="A202">
        <f t="shared" si="39"/>
        <v>201</v>
      </c>
      <c r="B202" s="1">
        <v>1080000000000</v>
      </c>
      <c r="C202" s="1">
        <v>80000000000</v>
      </c>
      <c r="E202" s="1">
        <f>+S202*10000</f>
        <v>535300</v>
      </c>
      <c r="F202" s="1">
        <f t="shared" si="32"/>
        <v>189986.92322062395</v>
      </c>
      <c r="G202" s="1">
        <f t="shared" si="33"/>
        <v>94993.461610311977</v>
      </c>
      <c r="H202" s="1">
        <f t="shared" si="34"/>
        <v>37997.384644124788</v>
      </c>
      <c r="I202" s="1">
        <f t="shared" si="35"/>
        <v>18998.692322062394</v>
      </c>
      <c r="J202" s="1">
        <f t="shared" si="36"/>
        <v>12665.79488137493</v>
      </c>
      <c r="K202" s="1">
        <f t="shared" si="37"/>
        <v>6332.897440687465</v>
      </c>
      <c r="L202" s="1">
        <f t="shared" si="38"/>
        <v>1899.8692322062395</v>
      </c>
      <c r="M202" s="4">
        <f t="shared" si="31"/>
        <v>50900000</v>
      </c>
      <c r="N202" s="4"/>
      <c r="O202" s="8"/>
      <c r="P202">
        <v>201</v>
      </c>
      <c r="Q202" s="1">
        <v>1080000000000</v>
      </c>
      <c r="R202" s="4">
        <v>50900000</v>
      </c>
      <c r="S202">
        <f>ROUND(1.02^A202,2)</f>
        <v>53.53</v>
      </c>
      <c r="T202" t="str">
        <f t="shared" si="30"/>
        <v>201,1080000000000,50900000,53,53</v>
      </c>
    </row>
    <row r="203" spans="1:20" x14ac:dyDescent="0.25">
      <c r="A203">
        <f t="shared" si="39"/>
        <v>202</v>
      </c>
      <c r="B203" s="1">
        <v>1181700000000</v>
      </c>
      <c r="C203" s="1">
        <v>101700000000</v>
      </c>
      <c r="E203" s="1">
        <f>+S203*10000</f>
        <v>546100</v>
      </c>
      <c r="F203" s="1">
        <f t="shared" si="32"/>
        <v>225965.94030397362</v>
      </c>
      <c r="G203" s="1">
        <f t="shared" si="33"/>
        <v>112982.97015198681</v>
      </c>
      <c r="H203" s="1">
        <f t="shared" si="34"/>
        <v>45193.188060794724</v>
      </c>
      <c r="I203" s="1">
        <f t="shared" si="35"/>
        <v>22596.594030397362</v>
      </c>
      <c r="J203" s="1">
        <f t="shared" si="36"/>
        <v>15064.396020264909</v>
      </c>
      <c r="K203" s="1">
        <f t="shared" si="37"/>
        <v>7532.1980101324543</v>
      </c>
      <c r="L203" s="1">
        <f t="shared" si="38"/>
        <v>2259.6594030397364</v>
      </c>
      <c r="M203" s="4">
        <f t="shared" si="31"/>
        <v>61700000</v>
      </c>
      <c r="N203" s="4"/>
      <c r="O203" s="8"/>
      <c r="P203">
        <v>202</v>
      </c>
      <c r="Q203" s="1">
        <v>1181700000000</v>
      </c>
      <c r="R203" s="4">
        <v>61700000</v>
      </c>
      <c r="S203">
        <f>ROUND(1.02^A203,2)</f>
        <v>54.61</v>
      </c>
      <c r="T203" t="str">
        <f t="shared" si="30"/>
        <v>202,1181700000000,61700000,54,61</v>
      </c>
    </row>
    <row r="204" spans="1:20" x14ac:dyDescent="0.25">
      <c r="A204">
        <f t="shared" si="39"/>
        <v>203</v>
      </c>
      <c r="B204" s="1">
        <v>1305100000000</v>
      </c>
      <c r="C204" s="1">
        <v>123400000000</v>
      </c>
      <c r="E204" s="1">
        <f>+S204*10000</f>
        <v>557000</v>
      </c>
      <c r="F204" s="1">
        <f t="shared" si="32"/>
        <v>260502.69299820467</v>
      </c>
      <c r="G204" s="1">
        <f t="shared" si="33"/>
        <v>130251.34649910234</v>
      </c>
      <c r="H204" s="1">
        <f t="shared" si="34"/>
        <v>52100.538599640931</v>
      </c>
      <c r="I204" s="1">
        <f t="shared" si="35"/>
        <v>26050.269299820466</v>
      </c>
      <c r="J204" s="1">
        <f t="shared" si="36"/>
        <v>17366.84619988031</v>
      </c>
      <c r="K204" s="1">
        <f t="shared" si="37"/>
        <v>8683.4230999401552</v>
      </c>
      <c r="L204" s="1">
        <f t="shared" si="38"/>
        <v>2605.0269299820466</v>
      </c>
      <c r="M204" s="4">
        <f t="shared" si="31"/>
        <v>72600000</v>
      </c>
      <c r="N204" s="4"/>
      <c r="O204" s="8"/>
      <c r="P204">
        <v>203</v>
      </c>
      <c r="Q204" s="1">
        <v>1305100000000</v>
      </c>
      <c r="R204" s="4">
        <v>72600000</v>
      </c>
      <c r="S204">
        <f>ROUND(1.02^A204,2)</f>
        <v>55.7</v>
      </c>
      <c r="T204" t="str">
        <f t="shared" si="30"/>
        <v>203,1305100000000,72600000,55,7</v>
      </c>
    </row>
    <row r="205" spans="1:20" x14ac:dyDescent="0.25">
      <c r="A205">
        <f t="shared" si="39"/>
        <v>204</v>
      </c>
      <c r="B205" s="1">
        <v>1450200000000</v>
      </c>
      <c r="C205" s="1">
        <v>145100000000</v>
      </c>
      <c r="E205" s="1">
        <f>+S205*10000</f>
        <v>568100</v>
      </c>
      <c r="F205" s="1">
        <f t="shared" si="32"/>
        <v>293610.27988030278</v>
      </c>
      <c r="G205" s="1">
        <f t="shared" si="33"/>
        <v>146805.13994015139</v>
      </c>
      <c r="H205" s="1">
        <f t="shared" si="34"/>
        <v>58722.055976060554</v>
      </c>
      <c r="I205" s="1">
        <f t="shared" si="35"/>
        <v>29361.027988030277</v>
      </c>
      <c r="J205" s="1">
        <f t="shared" si="36"/>
        <v>19574.018658686851</v>
      </c>
      <c r="K205" s="1">
        <f t="shared" si="37"/>
        <v>9787.0093293434256</v>
      </c>
      <c r="L205" s="1">
        <f t="shared" si="38"/>
        <v>2936.1027988030278</v>
      </c>
      <c r="M205" s="4">
        <f t="shared" si="31"/>
        <v>83400000</v>
      </c>
      <c r="N205" s="4"/>
      <c r="O205" s="8"/>
      <c r="P205">
        <v>204</v>
      </c>
      <c r="Q205" s="1">
        <v>1450200000000</v>
      </c>
      <c r="R205" s="4">
        <v>83400000</v>
      </c>
      <c r="S205">
        <f>ROUND(1.02^A205,2)</f>
        <v>56.81</v>
      </c>
      <c r="T205" t="str">
        <f t="shared" si="30"/>
        <v>204,1450200000000,83400000,56,81</v>
      </c>
    </row>
    <row r="206" spans="1:20" x14ac:dyDescent="0.25">
      <c r="A206">
        <f t="shared" si="39"/>
        <v>205</v>
      </c>
      <c r="B206" s="1">
        <v>1617000000000</v>
      </c>
      <c r="C206" s="1">
        <v>166800000000</v>
      </c>
      <c r="E206" s="1">
        <f>+S206*10000</f>
        <v>579500</v>
      </c>
      <c r="F206" s="1">
        <f t="shared" si="32"/>
        <v>325280.41415012942</v>
      </c>
      <c r="G206" s="1">
        <f t="shared" si="33"/>
        <v>162640.20707506471</v>
      </c>
      <c r="H206" s="1">
        <f t="shared" si="34"/>
        <v>65056.082830025887</v>
      </c>
      <c r="I206" s="1">
        <f t="shared" si="35"/>
        <v>32528.041415012944</v>
      </c>
      <c r="J206" s="1">
        <f t="shared" si="36"/>
        <v>21685.360943341962</v>
      </c>
      <c r="K206" s="1">
        <f t="shared" si="37"/>
        <v>10842.680471670981</v>
      </c>
      <c r="L206" s="1">
        <f t="shared" si="38"/>
        <v>3252.804141501294</v>
      </c>
      <c r="M206" s="4">
        <f t="shared" si="31"/>
        <v>94300000</v>
      </c>
      <c r="N206" s="4"/>
      <c r="O206" s="8"/>
      <c r="P206">
        <v>205</v>
      </c>
      <c r="Q206" s="1">
        <v>1617000000000</v>
      </c>
      <c r="R206" s="4">
        <v>94300000</v>
      </c>
      <c r="S206">
        <f>ROUND(1.02^A206,2)</f>
        <v>57.95</v>
      </c>
      <c r="T206" t="str">
        <f t="shared" si="30"/>
        <v>205,1617000000000,94300000,57,95</v>
      </c>
    </row>
    <row r="207" spans="1:20" x14ac:dyDescent="0.25">
      <c r="A207">
        <f t="shared" si="39"/>
        <v>206</v>
      </c>
      <c r="B207" s="1">
        <v>1805500000000</v>
      </c>
      <c r="C207" s="1">
        <v>188500000000</v>
      </c>
      <c r="E207" s="1">
        <f>+S207*10000</f>
        <v>591100</v>
      </c>
      <c r="F207" s="1">
        <f t="shared" si="32"/>
        <v>355608.18812383694</v>
      </c>
      <c r="G207" s="1">
        <f t="shared" si="33"/>
        <v>177804.09406191847</v>
      </c>
      <c r="H207" s="1">
        <f t="shared" si="34"/>
        <v>71121.637624767376</v>
      </c>
      <c r="I207" s="1">
        <f t="shared" si="35"/>
        <v>35560.818812383688</v>
      </c>
      <c r="J207" s="1">
        <f t="shared" si="36"/>
        <v>23707.212541589128</v>
      </c>
      <c r="K207" s="1">
        <f t="shared" si="37"/>
        <v>11853.606270794564</v>
      </c>
      <c r="L207" s="1">
        <f t="shared" si="38"/>
        <v>3556.0818812383691</v>
      </c>
      <c r="M207" s="4">
        <f t="shared" si="31"/>
        <v>105000000</v>
      </c>
      <c r="N207" s="4"/>
      <c r="O207" s="8"/>
      <c r="P207">
        <v>206</v>
      </c>
      <c r="Q207" s="1">
        <v>1805500000000</v>
      </c>
      <c r="R207" s="4">
        <v>105000000</v>
      </c>
      <c r="S207">
        <f>ROUND(1.02^A207,2)</f>
        <v>59.11</v>
      </c>
      <c r="T207" t="str">
        <f t="shared" si="30"/>
        <v>206,1805500000000,105000000,59,11</v>
      </c>
    </row>
    <row r="208" spans="1:20" x14ac:dyDescent="0.25">
      <c r="A208">
        <f t="shared" si="39"/>
        <v>207</v>
      </c>
      <c r="B208" s="1">
        <v>2015700000000</v>
      </c>
      <c r="C208" s="1">
        <v>210200000000</v>
      </c>
      <c r="E208" s="1">
        <f>+S208*10000</f>
        <v>602900</v>
      </c>
      <c r="F208" s="1">
        <f t="shared" si="32"/>
        <v>384640.90230552328</v>
      </c>
      <c r="G208" s="1">
        <f t="shared" si="33"/>
        <v>192320.45115276164</v>
      </c>
      <c r="H208" s="1">
        <f t="shared" si="34"/>
        <v>76928.180461104654</v>
      </c>
      <c r="I208" s="1">
        <f t="shared" si="35"/>
        <v>38464.090230552327</v>
      </c>
      <c r="J208" s="1">
        <f t="shared" si="36"/>
        <v>25642.726820368222</v>
      </c>
      <c r="K208" s="1">
        <f t="shared" si="37"/>
        <v>12821.363410184111</v>
      </c>
      <c r="L208" s="1">
        <f t="shared" si="38"/>
        <v>3846.4090230552329</v>
      </c>
      <c r="M208" s="4">
        <f t="shared" si="31"/>
        <v>116000000</v>
      </c>
      <c r="N208" s="4"/>
      <c r="O208" s="8"/>
      <c r="P208">
        <v>207</v>
      </c>
      <c r="Q208" s="1">
        <v>2015700000000</v>
      </c>
      <c r="R208" s="4">
        <v>116000000</v>
      </c>
      <c r="S208">
        <f>ROUND(1.02^A208,2)</f>
        <v>60.29</v>
      </c>
      <c r="T208" t="str">
        <f t="shared" si="30"/>
        <v>207,2015700000000,116000000,60,29</v>
      </c>
    </row>
    <row r="209" spans="1:20" x14ac:dyDescent="0.25">
      <c r="A209">
        <f t="shared" si="39"/>
        <v>208</v>
      </c>
      <c r="B209" s="1">
        <v>2247600000000</v>
      </c>
      <c r="C209" s="1">
        <v>231900000000</v>
      </c>
      <c r="E209" s="1">
        <f>+S209*10000</f>
        <v>614900</v>
      </c>
      <c r="F209" s="1">
        <f t="shared" si="32"/>
        <v>412424.78451780777</v>
      </c>
      <c r="G209" s="1">
        <f t="shared" si="33"/>
        <v>206212.39225890388</v>
      </c>
      <c r="H209" s="1">
        <f t="shared" si="34"/>
        <v>82484.956903561557</v>
      </c>
      <c r="I209" s="1">
        <f t="shared" si="35"/>
        <v>41242.478451780778</v>
      </c>
      <c r="J209" s="1">
        <f t="shared" si="36"/>
        <v>27494.985634520519</v>
      </c>
      <c r="K209" s="1">
        <f t="shared" si="37"/>
        <v>13747.492817260259</v>
      </c>
      <c r="L209" s="1">
        <f t="shared" si="38"/>
        <v>4124.247845178078</v>
      </c>
      <c r="M209" s="4">
        <f t="shared" si="31"/>
        <v>127000000</v>
      </c>
      <c r="N209" s="4"/>
      <c r="O209" s="8"/>
      <c r="P209">
        <v>208</v>
      </c>
      <c r="Q209" s="1">
        <v>2247600000000</v>
      </c>
      <c r="R209" s="4">
        <v>127000000</v>
      </c>
      <c r="S209">
        <f>ROUND(1.02^A209,2)</f>
        <v>61.49</v>
      </c>
      <c r="T209" t="str">
        <f t="shared" si="30"/>
        <v>208,2247600000000,127000000,61,49</v>
      </c>
    </row>
    <row r="210" spans="1:20" x14ac:dyDescent="0.25">
      <c r="A210">
        <f t="shared" si="39"/>
        <v>209</v>
      </c>
      <c r="B210" s="1">
        <v>2501200000000</v>
      </c>
      <c r="C210" s="1">
        <v>253600000000</v>
      </c>
      <c r="E210" s="1">
        <f>+S210*10000</f>
        <v>627200</v>
      </c>
      <c r="F210" s="1">
        <f t="shared" si="32"/>
        <v>438934.94897959183</v>
      </c>
      <c r="G210" s="1">
        <f t="shared" si="33"/>
        <v>219467.47448979592</v>
      </c>
      <c r="H210" s="1">
        <f t="shared" si="34"/>
        <v>87786.989795918373</v>
      </c>
      <c r="I210" s="1">
        <f t="shared" si="35"/>
        <v>43893.494897959186</v>
      </c>
      <c r="J210" s="1">
        <f t="shared" si="36"/>
        <v>29262.329931972788</v>
      </c>
      <c r="K210" s="1">
        <f t="shared" si="37"/>
        <v>14631.164965986394</v>
      </c>
      <c r="L210" s="1">
        <f t="shared" si="38"/>
        <v>4389.3494897959181</v>
      </c>
      <c r="M210" s="4">
        <f t="shared" si="31"/>
        <v>138000000</v>
      </c>
      <c r="N210" s="4"/>
      <c r="O210" s="8"/>
      <c r="P210">
        <v>209</v>
      </c>
      <c r="Q210" s="1">
        <v>2501200000000</v>
      </c>
      <c r="R210" s="4">
        <v>138000000</v>
      </c>
      <c r="S210">
        <f>ROUND(1.02^A210,2)</f>
        <v>62.72</v>
      </c>
      <c r="T210" t="str">
        <f t="shared" si="30"/>
        <v>209,2501200000000,138000000,62,72</v>
      </c>
    </row>
    <row r="211" spans="1:20" x14ac:dyDescent="0.25">
      <c r="A211">
        <f t="shared" si="39"/>
        <v>210</v>
      </c>
      <c r="B211" s="1">
        <v>2776500000000</v>
      </c>
      <c r="C211" s="1">
        <v>275300000000</v>
      </c>
      <c r="E211" s="1">
        <f>+S211*10000</f>
        <v>639800</v>
      </c>
      <c r="F211" s="1">
        <f t="shared" si="32"/>
        <v>464207.56486401998</v>
      </c>
      <c r="G211" s="1">
        <f t="shared" si="33"/>
        <v>232103.78243200999</v>
      </c>
      <c r="H211" s="1">
        <f t="shared" si="34"/>
        <v>92841.512972804005</v>
      </c>
      <c r="I211" s="1">
        <f t="shared" si="35"/>
        <v>46420.756486402002</v>
      </c>
      <c r="J211" s="1">
        <f t="shared" si="36"/>
        <v>30947.170990934668</v>
      </c>
      <c r="K211" s="1">
        <f t="shared" si="37"/>
        <v>15473.585495467334</v>
      </c>
      <c r="L211" s="1">
        <f t="shared" si="38"/>
        <v>4642.0756486401997</v>
      </c>
      <c r="M211" s="4">
        <f t="shared" si="31"/>
        <v>149000000</v>
      </c>
      <c r="N211" s="4"/>
      <c r="O211" s="8"/>
      <c r="P211">
        <v>210</v>
      </c>
      <c r="Q211" s="1">
        <v>2776500000000</v>
      </c>
      <c r="R211" s="4">
        <v>149000000</v>
      </c>
      <c r="S211">
        <f>ROUND(1.02^A211,2)</f>
        <v>63.98</v>
      </c>
      <c r="T211" t="str">
        <f t="shared" si="30"/>
        <v>210,2776500000000,149000000,63,98</v>
      </c>
    </row>
    <row r="212" spans="1:20" x14ac:dyDescent="0.25">
      <c r="A212">
        <f t="shared" si="39"/>
        <v>211</v>
      </c>
      <c r="B212" s="1">
        <v>3073500000000</v>
      </c>
      <c r="C212" s="1">
        <v>297000000000</v>
      </c>
      <c r="E212" s="1">
        <f>+S212*10000</f>
        <v>652600</v>
      </c>
      <c r="F212" s="1">
        <f t="shared" si="32"/>
        <v>488354.27520686487</v>
      </c>
      <c r="G212" s="1">
        <f t="shared" si="33"/>
        <v>244177.13760343243</v>
      </c>
      <c r="H212" s="1">
        <f t="shared" si="34"/>
        <v>97670.855041372968</v>
      </c>
      <c r="I212" s="1">
        <f t="shared" si="35"/>
        <v>48835.427520686484</v>
      </c>
      <c r="J212" s="1">
        <f t="shared" si="36"/>
        <v>32556.951680457656</v>
      </c>
      <c r="K212" s="1">
        <f t="shared" si="37"/>
        <v>16278.475840228828</v>
      </c>
      <c r="L212" s="1">
        <f t="shared" si="38"/>
        <v>4883.542752068648</v>
      </c>
      <c r="M212" s="4">
        <f t="shared" si="31"/>
        <v>159000000</v>
      </c>
      <c r="N212" s="4"/>
      <c r="O212" s="8"/>
      <c r="P212">
        <v>211</v>
      </c>
      <c r="Q212" s="1">
        <v>3073500000000</v>
      </c>
      <c r="R212" s="4">
        <v>159000000</v>
      </c>
      <c r="S212">
        <f>ROUND(1.02^A212,2)</f>
        <v>65.260000000000005</v>
      </c>
      <c r="T212" t="str">
        <f t="shared" si="30"/>
        <v>211,3073500000000,159000000,65,26</v>
      </c>
    </row>
    <row r="213" spans="1:20" x14ac:dyDescent="0.25">
      <c r="A213">
        <f t="shared" si="39"/>
        <v>212</v>
      </c>
      <c r="B213" s="1">
        <v>3392200000000</v>
      </c>
      <c r="C213" s="1">
        <v>318700000000</v>
      </c>
      <c r="E213" s="1">
        <f>+S213*10000</f>
        <v>665600</v>
      </c>
      <c r="F213" s="1">
        <f t="shared" si="32"/>
        <v>511418.26923076925</v>
      </c>
      <c r="G213" s="1">
        <f t="shared" si="33"/>
        <v>255709.13461538462</v>
      </c>
      <c r="H213" s="1">
        <f t="shared" si="34"/>
        <v>102283.65384615384</v>
      </c>
      <c r="I213" s="1">
        <f t="shared" si="35"/>
        <v>51141.826923076922</v>
      </c>
      <c r="J213" s="1">
        <f t="shared" si="36"/>
        <v>34094.551282051281</v>
      </c>
      <c r="K213" s="1">
        <f t="shared" si="37"/>
        <v>17047.275641025641</v>
      </c>
      <c r="L213" s="1">
        <f t="shared" si="38"/>
        <v>5114.1826923076924</v>
      </c>
      <c r="M213" s="4">
        <f t="shared" si="31"/>
        <v>170000000</v>
      </c>
      <c r="N213" s="4"/>
      <c r="O213" s="8"/>
      <c r="P213">
        <v>212</v>
      </c>
      <c r="Q213" s="1">
        <v>3392200000000</v>
      </c>
      <c r="R213" s="4">
        <v>170000000</v>
      </c>
      <c r="S213">
        <f>ROUND(1.02^A213,2)</f>
        <v>66.56</v>
      </c>
      <c r="T213" t="str">
        <f t="shared" si="30"/>
        <v>212,3392200000000,170000000,66,56</v>
      </c>
    </row>
    <row r="214" spans="1:20" x14ac:dyDescent="0.25">
      <c r="A214">
        <f t="shared" si="39"/>
        <v>213</v>
      </c>
      <c r="B214" s="1">
        <v>3732600000000</v>
      </c>
      <c r="C214" s="1">
        <v>340400000000</v>
      </c>
      <c r="E214" s="1">
        <f>+S214*10000</f>
        <v>678900</v>
      </c>
      <c r="F214" s="1">
        <f t="shared" si="32"/>
        <v>533362.79275298282</v>
      </c>
      <c r="G214" s="1">
        <f t="shared" si="33"/>
        <v>266681.39637649141</v>
      </c>
      <c r="H214" s="1">
        <f t="shared" si="34"/>
        <v>106672.55855059656</v>
      </c>
      <c r="I214" s="1">
        <f t="shared" si="35"/>
        <v>53336.279275298279</v>
      </c>
      <c r="J214" s="1">
        <f t="shared" si="36"/>
        <v>35557.519516865519</v>
      </c>
      <c r="K214" s="1">
        <f t="shared" si="37"/>
        <v>17778.75975843276</v>
      </c>
      <c r="L214" s="1">
        <f t="shared" si="38"/>
        <v>5333.6279275298275</v>
      </c>
      <c r="M214" s="4">
        <f t="shared" si="31"/>
        <v>181000000</v>
      </c>
      <c r="N214" s="4"/>
      <c r="O214" s="8"/>
      <c r="P214">
        <v>213</v>
      </c>
      <c r="Q214" s="1">
        <v>3732600000000</v>
      </c>
      <c r="R214" s="4">
        <v>181000000</v>
      </c>
      <c r="S214">
        <f>ROUND(1.02^A214,2)</f>
        <v>67.89</v>
      </c>
      <c r="T214" t="str">
        <f t="shared" si="30"/>
        <v>213,3732600000000,181000000,67,89</v>
      </c>
    </row>
    <row r="215" spans="1:20" x14ac:dyDescent="0.25">
      <c r="A215">
        <f t="shared" si="39"/>
        <v>214</v>
      </c>
      <c r="B215" s="1">
        <v>4094700000000</v>
      </c>
      <c r="C215" s="1">
        <v>362100000000</v>
      </c>
      <c r="E215" s="1">
        <f>+S215*10000</f>
        <v>692500</v>
      </c>
      <c r="F215" s="1">
        <f t="shared" si="32"/>
        <v>554223.82671480149</v>
      </c>
      <c r="G215" s="1">
        <f t="shared" si="33"/>
        <v>277111.91335740074</v>
      </c>
      <c r="H215" s="1">
        <f t="shared" si="34"/>
        <v>110844.76534296029</v>
      </c>
      <c r="I215" s="1">
        <f t="shared" si="35"/>
        <v>55422.382671480147</v>
      </c>
      <c r="J215" s="1">
        <f t="shared" si="36"/>
        <v>36948.255114320098</v>
      </c>
      <c r="K215" s="1">
        <f t="shared" si="37"/>
        <v>18474.127557160049</v>
      </c>
      <c r="L215" s="1">
        <f t="shared" si="38"/>
        <v>5542.2382671480145</v>
      </c>
      <c r="M215" s="4">
        <f t="shared" si="31"/>
        <v>192000000</v>
      </c>
      <c r="N215" s="4"/>
      <c r="O215" s="8"/>
      <c r="P215">
        <v>214</v>
      </c>
      <c r="Q215" s="1">
        <v>4094700000000</v>
      </c>
      <c r="R215" s="4">
        <v>192000000</v>
      </c>
      <c r="S215">
        <f>ROUND(1.02^A215,2)</f>
        <v>69.25</v>
      </c>
      <c r="T215" t="str">
        <f t="shared" si="30"/>
        <v>214,4094700000000,192000000,69,25</v>
      </c>
    </row>
    <row r="216" spans="1:20" x14ac:dyDescent="0.25">
      <c r="A216">
        <f t="shared" si="39"/>
        <v>215</v>
      </c>
      <c r="B216" s="1">
        <v>4478500000000</v>
      </c>
      <c r="C216" s="1">
        <v>383800000000</v>
      </c>
      <c r="E216" s="1">
        <f>+S216*10000</f>
        <v>706400</v>
      </c>
      <c r="F216" s="1">
        <f t="shared" si="32"/>
        <v>574037.3725934315</v>
      </c>
      <c r="G216" s="1">
        <f t="shared" si="33"/>
        <v>287018.68629671575</v>
      </c>
      <c r="H216" s="1">
        <f t="shared" si="34"/>
        <v>114807.4745186863</v>
      </c>
      <c r="I216" s="1">
        <f t="shared" si="35"/>
        <v>57403.73725934315</v>
      </c>
      <c r="J216" s="1">
        <f t="shared" si="36"/>
        <v>38269.158172895433</v>
      </c>
      <c r="K216" s="1">
        <f t="shared" si="37"/>
        <v>19134.579086447717</v>
      </c>
      <c r="L216" s="1">
        <f t="shared" si="38"/>
        <v>5740.3737259343152</v>
      </c>
      <c r="M216" s="4">
        <f t="shared" si="31"/>
        <v>203000000</v>
      </c>
      <c r="N216" s="4"/>
      <c r="O216" s="8"/>
      <c r="P216">
        <v>215</v>
      </c>
      <c r="Q216" s="1">
        <v>4478500000000</v>
      </c>
      <c r="R216" s="4">
        <v>203000000</v>
      </c>
      <c r="S216">
        <f>ROUND(1.02^A216,2)</f>
        <v>70.64</v>
      </c>
      <c r="T216" t="str">
        <f t="shared" si="30"/>
        <v>215,4478500000000,203000000,70,64</v>
      </c>
    </row>
    <row r="217" spans="1:20" x14ac:dyDescent="0.25">
      <c r="A217">
        <f t="shared" si="39"/>
        <v>216</v>
      </c>
      <c r="B217" s="1">
        <v>4884000000000</v>
      </c>
      <c r="C217" s="1">
        <v>405500000000</v>
      </c>
      <c r="E217" s="1">
        <f>+S217*10000</f>
        <v>720500</v>
      </c>
      <c r="F217" s="1">
        <f t="shared" si="32"/>
        <v>592921.58223455935</v>
      </c>
      <c r="G217" s="1">
        <f t="shared" si="33"/>
        <v>296460.79111727967</v>
      </c>
      <c r="H217" s="1">
        <f t="shared" si="34"/>
        <v>118584.31644691186</v>
      </c>
      <c r="I217" s="1">
        <f t="shared" si="35"/>
        <v>59292.158223455932</v>
      </c>
      <c r="J217" s="1">
        <f t="shared" si="36"/>
        <v>39528.105482303952</v>
      </c>
      <c r="K217" s="1">
        <f t="shared" si="37"/>
        <v>19764.052741151976</v>
      </c>
      <c r="L217" s="1">
        <f t="shared" si="38"/>
        <v>5929.2158223455936</v>
      </c>
      <c r="M217" s="4">
        <f t="shared" si="31"/>
        <v>214000000</v>
      </c>
      <c r="N217" s="4"/>
      <c r="O217" s="8"/>
      <c r="P217">
        <v>216</v>
      </c>
      <c r="Q217" s="1">
        <v>4884000000000</v>
      </c>
      <c r="R217" s="4">
        <v>214000000</v>
      </c>
      <c r="S217">
        <f>ROUND(1.02^A217,2)</f>
        <v>72.05</v>
      </c>
      <c r="T217" t="str">
        <f t="shared" si="30"/>
        <v>216,4884000000000,214000000,72,05</v>
      </c>
    </row>
    <row r="218" spans="1:20" x14ac:dyDescent="0.25">
      <c r="A218">
        <f t="shared" si="39"/>
        <v>217</v>
      </c>
      <c r="B218" s="1">
        <v>5311200000000</v>
      </c>
      <c r="C218" s="1">
        <v>427200000000</v>
      </c>
      <c r="E218" s="1">
        <f>+S218*10000</f>
        <v>734900</v>
      </c>
      <c r="F218" s="1">
        <f t="shared" si="32"/>
        <v>610831.40563341952</v>
      </c>
      <c r="G218" s="1">
        <f t="shared" si="33"/>
        <v>305415.70281670976</v>
      </c>
      <c r="H218" s="1">
        <f t="shared" si="34"/>
        <v>122166.2811266839</v>
      </c>
      <c r="I218" s="1">
        <f t="shared" si="35"/>
        <v>61083.140563341949</v>
      </c>
      <c r="J218" s="1">
        <f t="shared" si="36"/>
        <v>40722.093708894638</v>
      </c>
      <c r="K218" s="1">
        <f t="shared" si="37"/>
        <v>20361.046854447319</v>
      </c>
      <c r="L218" s="1">
        <f t="shared" si="38"/>
        <v>6108.3140563341949</v>
      </c>
      <c r="M218" s="4">
        <f t="shared" si="31"/>
        <v>224000000</v>
      </c>
      <c r="N218" s="4"/>
      <c r="O218" s="8"/>
      <c r="P218">
        <v>217</v>
      </c>
      <c r="Q218" s="1">
        <v>5311200000000</v>
      </c>
      <c r="R218" s="4">
        <v>224000000</v>
      </c>
      <c r="S218">
        <f>ROUND(1.02^A218,2)</f>
        <v>73.489999999999995</v>
      </c>
      <c r="T218" t="str">
        <f t="shared" si="30"/>
        <v>217,5311200000000,224000000,73,49</v>
      </c>
    </row>
    <row r="219" spans="1:20" x14ac:dyDescent="0.25">
      <c r="A219">
        <f t="shared" si="39"/>
        <v>218</v>
      </c>
      <c r="B219" s="1">
        <v>5760100000000</v>
      </c>
      <c r="C219" s="1">
        <v>448900000000</v>
      </c>
      <c r="E219" s="1">
        <f>+S219*10000</f>
        <v>749599.99999999988</v>
      </c>
      <c r="F219" s="1">
        <f t="shared" si="32"/>
        <v>627801.49413020292</v>
      </c>
      <c r="G219" s="1">
        <f t="shared" si="33"/>
        <v>313900.74706510146</v>
      </c>
      <c r="H219" s="1">
        <f t="shared" si="34"/>
        <v>125560.29882604057</v>
      </c>
      <c r="I219" s="1">
        <f t="shared" si="35"/>
        <v>62780.149413020285</v>
      </c>
      <c r="J219" s="1">
        <f t="shared" si="36"/>
        <v>41853.432942013525</v>
      </c>
      <c r="K219" s="1">
        <f t="shared" si="37"/>
        <v>20926.716471006763</v>
      </c>
      <c r="L219" s="1">
        <f t="shared" si="38"/>
        <v>6278.014941302029</v>
      </c>
      <c r="M219" s="4">
        <f t="shared" si="31"/>
        <v>235000000</v>
      </c>
      <c r="N219" s="4"/>
      <c r="O219" s="8"/>
      <c r="P219">
        <v>218</v>
      </c>
      <c r="Q219" s="1">
        <v>5760100000000</v>
      </c>
      <c r="R219" s="4">
        <v>235000000</v>
      </c>
      <c r="S219">
        <f>ROUND(1.02^A219,2)</f>
        <v>74.959999999999994</v>
      </c>
      <c r="T219" t="str">
        <f t="shared" si="30"/>
        <v>218,5760100000000,235000000,74,96</v>
      </c>
    </row>
    <row r="220" spans="1:20" x14ac:dyDescent="0.25">
      <c r="A220">
        <f t="shared" si="39"/>
        <v>219</v>
      </c>
      <c r="B220" s="1">
        <v>6230700000000</v>
      </c>
      <c r="C220" s="1">
        <v>470600000000</v>
      </c>
      <c r="E220" s="1">
        <f>+S220*10000</f>
        <v>764599.99999999988</v>
      </c>
      <c r="F220" s="1">
        <f t="shared" si="32"/>
        <v>643866.07376405969</v>
      </c>
      <c r="G220" s="1">
        <f t="shared" si="33"/>
        <v>321933.03688202985</v>
      </c>
      <c r="H220" s="1">
        <f t="shared" si="34"/>
        <v>128773.21475281194</v>
      </c>
      <c r="I220" s="1">
        <f t="shared" si="35"/>
        <v>64386.607376405969</v>
      </c>
      <c r="J220" s="1">
        <f t="shared" si="36"/>
        <v>42924.404917603984</v>
      </c>
      <c r="K220" s="1">
        <f t="shared" si="37"/>
        <v>21462.202458801992</v>
      </c>
      <c r="L220" s="1">
        <f t="shared" si="38"/>
        <v>6438.6607376405973</v>
      </c>
      <c r="M220" s="4">
        <f t="shared" si="31"/>
        <v>246000000</v>
      </c>
      <c r="N220" s="4"/>
      <c r="O220" s="8"/>
      <c r="P220">
        <v>219</v>
      </c>
      <c r="Q220" s="1">
        <v>6230700000000</v>
      </c>
      <c r="R220" s="4">
        <v>246000000</v>
      </c>
      <c r="S220">
        <f>ROUND(1.02^A220,2)</f>
        <v>76.459999999999994</v>
      </c>
      <c r="T220" t="str">
        <f t="shared" si="30"/>
        <v>219,6230700000000,246000000,76,46</v>
      </c>
    </row>
    <row r="221" spans="1:20" x14ac:dyDescent="0.25">
      <c r="A221">
        <f t="shared" si="39"/>
        <v>220</v>
      </c>
      <c r="B221" s="1">
        <v>6723000000000</v>
      </c>
      <c r="C221" s="1">
        <v>492300000000</v>
      </c>
      <c r="E221" s="1">
        <f>+S221*10000</f>
        <v>779900</v>
      </c>
      <c r="F221" s="1">
        <f t="shared" si="32"/>
        <v>659058.85369919217</v>
      </c>
      <c r="G221" s="1">
        <f t="shared" si="33"/>
        <v>329529.42684959609</v>
      </c>
      <c r="H221" s="1">
        <f t="shared" si="34"/>
        <v>131811.77073983845</v>
      </c>
      <c r="I221" s="1">
        <f t="shared" si="35"/>
        <v>65905.885369919226</v>
      </c>
      <c r="J221" s="1">
        <f t="shared" si="36"/>
        <v>43937.256913279482</v>
      </c>
      <c r="K221" s="1">
        <f t="shared" si="37"/>
        <v>21968.628456639741</v>
      </c>
      <c r="L221" s="1">
        <f t="shared" si="38"/>
        <v>6590.5885369919224</v>
      </c>
      <c r="M221" s="4">
        <f t="shared" si="31"/>
        <v>257000000</v>
      </c>
      <c r="N221" s="4"/>
      <c r="O221" s="8"/>
      <c r="P221">
        <v>220</v>
      </c>
      <c r="Q221" s="1">
        <v>6723000000000</v>
      </c>
      <c r="R221" s="4">
        <v>257000000</v>
      </c>
      <c r="S221">
        <f>ROUND(1.02^A221,2)</f>
        <v>77.989999999999995</v>
      </c>
      <c r="T221" t="str">
        <f t="shared" si="30"/>
        <v>220,6723000000000,257000000,77,99</v>
      </c>
    </row>
    <row r="222" spans="1:20" x14ac:dyDescent="0.25">
      <c r="A222">
        <f t="shared" si="39"/>
        <v>221</v>
      </c>
      <c r="B222" s="1">
        <v>7237000000000</v>
      </c>
      <c r="C222" s="1">
        <v>514000000000</v>
      </c>
      <c r="E222" s="1">
        <f>+S222*10000</f>
        <v>795500</v>
      </c>
      <c r="F222" s="1">
        <f t="shared" si="32"/>
        <v>673412.94783155248</v>
      </c>
      <c r="G222" s="1">
        <f t="shared" si="33"/>
        <v>336706.47391577624</v>
      </c>
      <c r="H222" s="1">
        <f t="shared" si="34"/>
        <v>134682.58956631049</v>
      </c>
      <c r="I222" s="1">
        <f t="shared" si="35"/>
        <v>67341.294783155245</v>
      </c>
      <c r="J222" s="1">
        <f t="shared" si="36"/>
        <v>44894.196522103499</v>
      </c>
      <c r="K222" s="1">
        <f t="shared" si="37"/>
        <v>22447.098261051749</v>
      </c>
      <c r="L222" s="1">
        <f t="shared" si="38"/>
        <v>6734.1294783155245</v>
      </c>
      <c r="M222" s="4">
        <f t="shared" si="31"/>
        <v>268000000</v>
      </c>
      <c r="N222" s="4"/>
      <c r="O222" s="8"/>
      <c r="P222">
        <v>221</v>
      </c>
      <c r="Q222" s="1">
        <v>7237000000000</v>
      </c>
      <c r="R222" s="4">
        <v>268000000</v>
      </c>
      <c r="S222">
        <f>ROUND(1.02^A222,2)</f>
        <v>79.55</v>
      </c>
      <c r="T222" t="str">
        <f t="shared" si="30"/>
        <v>221,7237000000000,268000000,79,55</v>
      </c>
    </row>
    <row r="223" spans="1:20" x14ac:dyDescent="0.25">
      <c r="A223">
        <f t="shared" si="39"/>
        <v>222</v>
      </c>
      <c r="B223" s="1">
        <v>7772700000000</v>
      </c>
      <c r="C223" s="1">
        <v>535700000000</v>
      </c>
      <c r="E223" s="1">
        <f>+S223*10000</f>
        <v>811400</v>
      </c>
      <c r="F223" s="1">
        <f t="shared" si="32"/>
        <v>686960.80847917183</v>
      </c>
      <c r="G223" s="1">
        <f t="shared" si="33"/>
        <v>343480.40423958591</v>
      </c>
      <c r="H223" s="1">
        <f t="shared" si="34"/>
        <v>137392.16169583437</v>
      </c>
      <c r="I223" s="1">
        <f t="shared" si="35"/>
        <v>68696.080847917183</v>
      </c>
      <c r="J223" s="1">
        <f t="shared" si="36"/>
        <v>45797.387231944784</v>
      </c>
      <c r="K223" s="1">
        <f t="shared" si="37"/>
        <v>22898.693615972392</v>
      </c>
      <c r="L223" s="1">
        <f t="shared" si="38"/>
        <v>6869.6080847917183</v>
      </c>
      <c r="M223" s="4">
        <f t="shared" si="31"/>
        <v>279000000</v>
      </c>
      <c r="N223" s="4"/>
      <c r="O223" s="8"/>
      <c r="P223">
        <v>222</v>
      </c>
      <c r="Q223" s="1">
        <v>7772700000000</v>
      </c>
      <c r="R223" s="4">
        <v>279000000</v>
      </c>
      <c r="S223">
        <f>ROUND(1.02^A223,2)</f>
        <v>81.14</v>
      </c>
      <c r="T223" t="str">
        <f t="shared" si="30"/>
        <v>222,7772700000000,279000000,81,14</v>
      </c>
    </row>
    <row r="224" spans="1:20" x14ac:dyDescent="0.25">
      <c r="A224">
        <f t="shared" si="39"/>
        <v>223</v>
      </c>
      <c r="B224" s="1">
        <v>8330100000000</v>
      </c>
      <c r="C224" s="1">
        <v>557400000000</v>
      </c>
      <c r="E224" s="1">
        <f>+S224*10000</f>
        <v>827600</v>
      </c>
      <c r="F224" s="1">
        <f t="shared" si="32"/>
        <v>699734.17109714833</v>
      </c>
      <c r="G224" s="1">
        <f t="shared" si="33"/>
        <v>349867.08554857416</v>
      </c>
      <c r="H224" s="1">
        <f t="shared" si="34"/>
        <v>139946.83421942967</v>
      </c>
      <c r="I224" s="1">
        <f t="shared" si="35"/>
        <v>69973.417109714836</v>
      </c>
      <c r="J224" s="1">
        <f t="shared" si="36"/>
        <v>46648.944739809893</v>
      </c>
      <c r="K224" s="1">
        <f t="shared" si="37"/>
        <v>23324.472369904946</v>
      </c>
      <c r="L224" s="1">
        <f t="shared" si="38"/>
        <v>6997.3417109714837</v>
      </c>
      <c r="M224" s="4">
        <f t="shared" si="31"/>
        <v>290000000</v>
      </c>
      <c r="N224" s="4"/>
      <c r="O224" s="8"/>
      <c r="P224">
        <v>223</v>
      </c>
      <c r="Q224" s="1">
        <v>8330100000000</v>
      </c>
      <c r="R224" s="4">
        <v>290000000</v>
      </c>
      <c r="S224">
        <f>ROUND(1.02^A224,2)</f>
        <v>82.76</v>
      </c>
      <c r="T224" t="str">
        <f t="shared" si="30"/>
        <v>223,8330100000000,290000000,82,76</v>
      </c>
    </row>
    <row r="225" spans="1:20" x14ac:dyDescent="0.25">
      <c r="A225">
        <f t="shared" si="39"/>
        <v>224</v>
      </c>
      <c r="B225" s="1">
        <v>8909200000000</v>
      </c>
      <c r="C225" s="1">
        <v>579100000000</v>
      </c>
      <c r="E225" s="1">
        <f>+S225*10000</f>
        <v>844200</v>
      </c>
      <c r="F225" s="1">
        <f t="shared" si="32"/>
        <v>711679.69675432367</v>
      </c>
      <c r="G225" s="1">
        <f t="shared" si="33"/>
        <v>355839.84837716183</v>
      </c>
      <c r="H225" s="1">
        <f t="shared" si="34"/>
        <v>142335.93935086473</v>
      </c>
      <c r="I225" s="1">
        <f t="shared" si="35"/>
        <v>71167.969675432367</v>
      </c>
      <c r="J225" s="1">
        <f t="shared" si="36"/>
        <v>47445.313116954909</v>
      </c>
      <c r="K225" s="1">
        <f t="shared" si="37"/>
        <v>23722.656558477454</v>
      </c>
      <c r="L225" s="1">
        <f t="shared" si="38"/>
        <v>7116.796967543236</v>
      </c>
      <c r="M225" s="4">
        <f t="shared" si="31"/>
        <v>300000000</v>
      </c>
      <c r="N225" s="4"/>
      <c r="O225" s="8"/>
      <c r="P225">
        <v>224</v>
      </c>
      <c r="Q225" s="1">
        <v>8909200000000</v>
      </c>
      <c r="R225" s="4">
        <v>300000000</v>
      </c>
      <c r="S225">
        <f>ROUND(1.02^A225,2)</f>
        <v>84.42</v>
      </c>
      <c r="T225" t="str">
        <f t="shared" si="30"/>
        <v>224,8909200000000,300000000,84,42</v>
      </c>
    </row>
    <row r="226" spans="1:20" x14ac:dyDescent="0.25">
      <c r="A226">
        <f t="shared" si="39"/>
        <v>225</v>
      </c>
      <c r="B226" s="1">
        <v>9510000000000</v>
      </c>
      <c r="C226" s="1">
        <v>600800000000</v>
      </c>
      <c r="E226" s="1">
        <f>+S226*10000</f>
        <v>861100</v>
      </c>
      <c r="F226" s="1">
        <f t="shared" si="32"/>
        <v>722912.55371037044</v>
      </c>
      <c r="G226" s="1">
        <f t="shared" si="33"/>
        <v>361456.27685518522</v>
      </c>
      <c r="H226" s="1">
        <f t="shared" si="34"/>
        <v>144582.51074207408</v>
      </c>
      <c r="I226" s="1">
        <f t="shared" si="35"/>
        <v>72291.255371037041</v>
      </c>
      <c r="J226" s="1">
        <f t="shared" si="36"/>
        <v>48194.17024735803</v>
      </c>
      <c r="K226" s="1">
        <f t="shared" si="37"/>
        <v>24097.085123679015</v>
      </c>
      <c r="L226" s="1">
        <f t="shared" si="38"/>
        <v>7229.1255371037041</v>
      </c>
      <c r="M226" s="4">
        <f t="shared" si="31"/>
        <v>311000000</v>
      </c>
      <c r="N226" s="4"/>
      <c r="O226" s="8"/>
      <c r="P226">
        <v>225</v>
      </c>
      <c r="Q226" s="1">
        <v>9510000000000</v>
      </c>
      <c r="R226" s="4">
        <v>311000000</v>
      </c>
      <c r="S226">
        <f>ROUND(1.02^A226,2)</f>
        <v>86.11</v>
      </c>
      <c r="T226" t="str">
        <f t="shared" si="30"/>
        <v>225,9510000000000,311000000,86,11</v>
      </c>
    </row>
    <row r="227" spans="1:20" x14ac:dyDescent="0.25">
      <c r="A227">
        <f t="shared" si="39"/>
        <v>226</v>
      </c>
      <c r="B227" s="1">
        <v>10132500000000</v>
      </c>
      <c r="C227" s="1">
        <v>622500000000</v>
      </c>
      <c r="E227" s="1">
        <f>+S227*10000</f>
        <v>878300</v>
      </c>
      <c r="F227" s="1">
        <f t="shared" si="32"/>
        <v>733462.37048844353</v>
      </c>
      <c r="G227" s="1">
        <f t="shared" si="33"/>
        <v>366731.18524422176</v>
      </c>
      <c r="H227" s="1">
        <f t="shared" si="34"/>
        <v>146692.47409768871</v>
      </c>
      <c r="I227" s="1">
        <f t="shared" si="35"/>
        <v>73346.237048844356</v>
      </c>
      <c r="J227" s="1">
        <f t="shared" si="36"/>
        <v>48897.49136589624</v>
      </c>
      <c r="K227" s="1">
        <f t="shared" si="37"/>
        <v>24448.74568294812</v>
      </c>
      <c r="L227" s="1">
        <f t="shared" si="38"/>
        <v>7334.6237048844359</v>
      </c>
      <c r="M227" s="4">
        <f t="shared" si="31"/>
        <v>322000000</v>
      </c>
      <c r="N227" s="4"/>
      <c r="O227" s="8"/>
      <c r="P227">
        <v>226</v>
      </c>
      <c r="Q227" s="1">
        <v>10132500000000</v>
      </c>
      <c r="R227" s="4">
        <v>322000000</v>
      </c>
      <c r="S227">
        <f>ROUND(1.02^A227,2)</f>
        <v>87.83</v>
      </c>
      <c r="T227" t="str">
        <f t="shared" si="30"/>
        <v>226,10132500000000,322000000,87,83</v>
      </c>
    </row>
    <row r="228" spans="1:20" x14ac:dyDescent="0.25">
      <c r="A228">
        <f t="shared" si="39"/>
        <v>227</v>
      </c>
      <c r="B228" s="1">
        <v>10776700000000</v>
      </c>
      <c r="C228" s="1">
        <v>644200000000</v>
      </c>
      <c r="E228" s="1">
        <f>+S228*10000</f>
        <v>895900</v>
      </c>
      <c r="F228" s="1">
        <f t="shared" si="32"/>
        <v>743274.91907578974</v>
      </c>
      <c r="G228" s="1">
        <f t="shared" si="33"/>
        <v>371637.45953789487</v>
      </c>
      <c r="H228" s="1">
        <f t="shared" si="34"/>
        <v>148654.98381515793</v>
      </c>
      <c r="I228" s="1">
        <f t="shared" si="35"/>
        <v>74327.491907578966</v>
      </c>
      <c r="J228" s="1">
        <f t="shared" si="36"/>
        <v>49551.661271719313</v>
      </c>
      <c r="K228" s="1">
        <f t="shared" si="37"/>
        <v>24775.830635859656</v>
      </c>
      <c r="L228" s="1">
        <f t="shared" si="38"/>
        <v>7432.7491907578969</v>
      </c>
      <c r="M228" s="4">
        <f t="shared" si="31"/>
        <v>333000000</v>
      </c>
      <c r="N228" s="4"/>
      <c r="O228" s="8"/>
      <c r="P228">
        <v>227</v>
      </c>
      <c r="Q228" s="1">
        <v>10776700000000</v>
      </c>
      <c r="R228" s="4">
        <v>333000000</v>
      </c>
      <c r="S228">
        <f>ROUND(1.02^A228,2)</f>
        <v>89.59</v>
      </c>
      <c r="T228" t="str">
        <f t="shared" si="30"/>
        <v>227,10776700000000,333000000,89,59</v>
      </c>
    </row>
    <row r="229" spans="1:20" x14ac:dyDescent="0.25">
      <c r="A229">
        <f t="shared" si="39"/>
        <v>228</v>
      </c>
      <c r="B229" s="1">
        <v>11442600000000</v>
      </c>
      <c r="C229" s="1">
        <v>665900000000</v>
      </c>
      <c r="E229" s="1">
        <f>+S229*10000</f>
        <v>913800</v>
      </c>
      <c r="F229" s="1">
        <f t="shared" si="32"/>
        <v>752462.24556795799</v>
      </c>
      <c r="G229" s="1">
        <f t="shared" si="33"/>
        <v>376231.12278397899</v>
      </c>
      <c r="H229" s="1">
        <f t="shared" si="34"/>
        <v>150492.4491135916</v>
      </c>
      <c r="I229" s="1">
        <f t="shared" si="35"/>
        <v>75246.224556795802</v>
      </c>
      <c r="J229" s="1">
        <f t="shared" si="36"/>
        <v>50164.14970453053</v>
      </c>
      <c r="K229" s="1">
        <f t="shared" si="37"/>
        <v>25082.074852265265</v>
      </c>
      <c r="L229" s="1">
        <f t="shared" si="38"/>
        <v>7524.6224556795796</v>
      </c>
      <c r="M229" s="4">
        <f t="shared" si="31"/>
        <v>344000000</v>
      </c>
      <c r="N229" s="4"/>
      <c r="O229" s="8"/>
      <c r="P229">
        <v>228</v>
      </c>
      <c r="Q229" s="1">
        <v>11442600000000</v>
      </c>
      <c r="R229" s="4">
        <v>344000000</v>
      </c>
      <c r="S229">
        <f>ROUND(1.02^A229,2)</f>
        <v>91.38</v>
      </c>
      <c r="T229" t="str">
        <f t="shared" si="30"/>
        <v>228,11442600000000,344000000,91,38</v>
      </c>
    </row>
    <row r="230" spans="1:20" x14ac:dyDescent="0.25">
      <c r="A230">
        <f t="shared" si="39"/>
        <v>229</v>
      </c>
      <c r="B230" s="1">
        <v>12130200000000</v>
      </c>
      <c r="C230" s="1">
        <v>687600000000</v>
      </c>
      <c r="E230" s="1">
        <f>+S230*10000</f>
        <v>932099.99999999988</v>
      </c>
      <c r="F230" s="1">
        <f t="shared" si="32"/>
        <v>760969.85302006232</v>
      </c>
      <c r="G230" s="1">
        <f t="shared" si="33"/>
        <v>380484.92651003116</v>
      </c>
      <c r="H230" s="1">
        <f t="shared" si="34"/>
        <v>152193.97060401249</v>
      </c>
      <c r="I230" s="1">
        <f t="shared" si="35"/>
        <v>76096.985302006244</v>
      </c>
      <c r="J230" s="1">
        <f t="shared" si="36"/>
        <v>50731.323534670824</v>
      </c>
      <c r="K230" s="1">
        <f t="shared" si="37"/>
        <v>25365.661767335412</v>
      </c>
      <c r="L230" s="1">
        <f t="shared" si="38"/>
        <v>7609.6985302006233</v>
      </c>
      <c r="M230" s="4">
        <f t="shared" si="31"/>
        <v>355000000</v>
      </c>
      <c r="N230" s="4"/>
      <c r="O230" s="8"/>
      <c r="P230">
        <v>229</v>
      </c>
      <c r="Q230" s="1">
        <v>12130200000000</v>
      </c>
      <c r="R230" s="4">
        <v>355000000</v>
      </c>
      <c r="S230">
        <f>ROUND(1.02^A230,2)</f>
        <v>93.21</v>
      </c>
      <c r="T230" t="str">
        <f t="shared" si="30"/>
        <v>229,12130200000000,355000000,93,21</v>
      </c>
    </row>
    <row r="231" spans="1:20" x14ac:dyDescent="0.25">
      <c r="A231">
        <f t="shared" si="39"/>
        <v>230</v>
      </c>
      <c r="B231" s="1">
        <v>12839500000000</v>
      </c>
      <c r="C231" s="1">
        <v>709300000000</v>
      </c>
      <c r="E231" s="1">
        <f>+S231*10000</f>
        <v>950699.99999999988</v>
      </c>
      <c r="F231" s="1">
        <f t="shared" si="32"/>
        <v>768907.12106868636</v>
      </c>
      <c r="G231" s="1">
        <f t="shared" si="33"/>
        <v>384453.56053434318</v>
      </c>
      <c r="H231" s="1">
        <f t="shared" si="34"/>
        <v>153781.42421373728</v>
      </c>
      <c r="I231" s="1">
        <f t="shared" si="35"/>
        <v>76890.712106868639</v>
      </c>
      <c r="J231" s="1">
        <f t="shared" si="36"/>
        <v>51260.474737912424</v>
      </c>
      <c r="K231" s="1">
        <f t="shared" si="37"/>
        <v>25630.237368956212</v>
      </c>
      <c r="L231" s="1">
        <f t="shared" si="38"/>
        <v>7689.0712106868632</v>
      </c>
      <c r="M231" s="4">
        <f t="shared" si="31"/>
        <v>366000000</v>
      </c>
      <c r="N231" s="4"/>
      <c r="O231" s="8"/>
      <c r="P231">
        <v>230</v>
      </c>
      <c r="Q231" s="1">
        <v>12839500000000</v>
      </c>
      <c r="R231" s="4">
        <v>366000000</v>
      </c>
      <c r="S231">
        <f>ROUND(1.02^A231,2)</f>
        <v>95.07</v>
      </c>
      <c r="T231" t="str">
        <f t="shared" si="30"/>
        <v>230,12839500000000,366000000,95,07</v>
      </c>
    </row>
    <row r="232" spans="1:20" x14ac:dyDescent="0.25">
      <c r="A232">
        <f t="shared" si="39"/>
        <v>231</v>
      </c>
      <c r="B232" s="1">
        <v>13570500000000</v>
      </c>
      <c r="C232" s="1">
        <v>731000000000</v>
      </c>
      <c r="E232" s="1">
        <f>+S232*10000</f>
        <v>969700</v>
      </c>
      <c r="F232" s="1">
        <f t="shared" si="32"/>
        <v>776219.44931422092</v>
      </c>
      <c r="G232" s="1">
        <f t="shared" si="33"/>
        <v>388109.72465711046</v>
      </c>
      <c r="H232" s="1">
        <f t="shared" si="34"/>
        <v>155243.88986284417</v>
      </c>
      <c r="I232" s="1">
        <f t="shared" si="35"/>
        <v>77621.944931422084</v>
      </c>
      <c r="J232" s="1">
        <f t="shared" si="36"/>
        <v>51747.96328761473</v>
      </c>
      <c r="K232" s="1">
        <f t="shared" si="37"/>
        <v>25873.981643807365</v>
      </c>
      <c r="L232" s="1">
        <f t="shared" si="38"/>
        <v>7762.1944931422086</v>
      </c>
      <c r="M232" s="4">
        <f t="shared" si="31"/>
        <v>376000000</v>
      </c>
      <c r="N232" s="4"/>
      <c r="O232" s="8"/>
      <c r="P232">
        <v>231</v>
      </c>
      <c r="Q232" s="1">
        <v>13570500000000</v>
      </c>
      <c r="R232" s="4">
        <v>376000000</v>
      </c>
      <c r="S232">
        <f>ROUND(1.02^A232,2)</f>
        <v>96.97</v>
      </c>
      <c r="T232" t="str">
        <f t="shared" si="30"/>
        <v>231,13570500000000,376000000,96,97</v>
      </c>
    </row>
    <row r="233" spans="1:20" x14ac:dyDescent="0.25">
      <c r="A233">
        <f t="shared" si="39"/>
        <v>232</v>
      </c>
      <c r="B233" s="1">
        <v>14323200000000</v>
      </c>
      <c r="C233" s="1">
        <v>752700000000</v>
      </c>
      <c r="E233" s="1">
        <f>+S233*10000</f>
        <v>989100</v>
      </c>
      <c r="F233" s="1">
        <f t="shared" si="32"/>
        <v>782933.98038620967</v>
      </c>
      <c r="G233" s="1">
        <f t="shared" si="33"/>
        <v>391466.99019310484</v>
      </c>
      <c r="H233" s="1">
        <f t="shared" si="34"/>
        <v>156586.79607724195</v>
      </c>
      <c r="I233" s="1">
        <f t="shared" si="35"/>
        <v>78293.398038620973</v>
      </c>
      <c r="J233" s="1">
        <f t="shared" si="36"/>
        <v>52195.59869241398</v>
      </c>
      <c r="K233" s="1">
        <f t="shared" si="37"/>
        <v>26097.79934620699</v>
      </c>
      <c r="L233" s="1">
        <f t="shared" si="38"/>
        <v>7829.3398038620971</v>
      </c>
      <c r="M233" s="4">
        <f t="shared" si="31"/>
        <v>387000000</v>
      </c>
      <c r="N233" s="4"/>
      <c r="O233" s="8"/>
      <c r="P233">
        <v>232</v>
      </c>
      <c r="Q233" s="1">
        <v>14323200000000</v>
      </c>
      <c r="R233" s="4">
        <v>387000000</v>
      </c>
      <c r="S233">
        <f>ROUND(1.02^A233,2)</f>
        <v>98.91</v>
      </c>
      <c r="T233" t="str">
        <f t="shared" si="30"/>
        <v>232,14323200000000,387000000,98,91</v>
      </c>
    </row>
    <row r="234" spans="1:20" x14ac:dyDescent="0.25">
      <c r="A234">
        <f t="shared" si="39"/>
        <v>233</v>
      </c>
      <c r="B234" s="1">
        <v>15097600000000</v>
      </c>
      <c r="C234" s="1">
        <v>774400000000</v>
      </c>
      <c r="E234" s="1">
        <f>+S234*10000</f>
        <v>1008900</v>
      </c>
      <c r="F234" s="1">
        <f t="shared" si="32"/>
        <v>789077.21280602633</v>
      </c>
      <c r="G234" s="1">
        <f t="shared" si="33"/>
        <v>394538.60640301317</v>
      </c>
      <c r="H234" s="1">
        <f t="shared" si="34"/>
        <v>157815.44256120527</v>
      </c>
      <c r="I234" s="1">
        <f t="shared" si="35"/>
        <v>78907.721280602636</v>
      </c>
      <c r="J234" s="1">
        <f t="shared" si="36"/>
        <v>52605.147520401755</v>
      </c>
      <c r="K234" s="1">
        <f t="shared" si="37"/>
        <v>26302.573760200878</v>
      </c>
      <c r="L234" s="1">
        <f t="shared" si="38"/>
        <v>7890.7721280602636</v>
      </c>
      <c r="M234" s="4">
        <f t="shared" si="31"/>
        <v>398000000</v>
      </c>
      <c r="N234" s="4"/>
      <c r="O234" s="8"/>
      <c r="P234">
        <v>233</v>
      </c>
      <c r="Q234" s="1">
        <v>15097600000000</v>
      </c>
      <c r="R234" s="4">
        <v>398000000</v>
      </c>
      <c r="S234">
        <f>ROUND(1.02^A234,2)</f>
        <v>100.89</v>
      </c>
      <c r="T234" t="str">
        <f t="shared" si="30"/>
        <v>233,15097600000000,398000000,100,89</v>
      </c>
    </row>
    <row r="235" spans="1:20" x14ac:dyDescent="0.25">
      <c r="A235">
        <f t="shared" si="39"/>
        <v>234</v>
      </c>
      <c r="B235" s="1">
        <v>15893700000000</v>
      </c>
      <c r="C235" s="1">
        <v>796100000000</v>
      </c>
      <c r="E235" s="1">
        <f>+S235*10000</f>
        <v>1029100</v>
      </c>
      <c r="F235" s="1">
        <f t="shared" si="32"/>
        <v>794674.9587017782</v>
      </c>
      <c r="G235" s="1">
        <f t="shared" si="33"/>
        <v>397337.4793508891</v>
      </c>
      <c r="H235" s="1">
        <f t="shared" si="34"/>
        <v>158934.99174035565</v>
      </c>
      <c r="I235" s="1">
        <f t="shared" si="35"/>
        <v>79467.495870177823</v>
      </c>
      <c r="J235" s="1">
        <f t="shared" si="36"/>
        <v>52978.330580118549</v>
      </c>
      <c r="K235" s="1">
        <f t="shared" si="37"/>
        <v>26489.165290059274</v>
      </c>
      <c r="L235" s="1">
        <f t="shared" si="38"/>
        <v>7946.7495870177827</v>
      </c>
      <c r="M235" s="4">
        <f t="shared" si="31"/>
        <v>409000000</v>
      </c>
      <c r="N235" s="4"/>
      <c r="O235" s="8"/>
      <c r="P235">
        <v>234</v>
      </c>
      <c r="Q235" s="1">
        <v>15893700000000</v>
      </c>
      <c r="R235" s="4">
        <v>409000000</v>
      </c>
      <c r="S235">
        <f>ROUND(1.02^A235,2)</f>
        <v>102.91</v>
      </c>
      <c r="T235" t="str">
        <f t="shared" si="30"/>
        <v>234,15893700000000,409000000,102,91</v>
      </c>
    </row>
    <row r="236" spans="1:20" x14ac:dyDescent="0.25">
      <c r="A236">
        <f t="shared" si="39"/>
        <v>235</v>
      </c>
      <c r="B236" s="1">
        <v>16711500000000</v>
      </c>
      <c r="C236" s="1">
        <v>817800000000</v>
      </c>
      <c r="E236" s="1">
        <f>+S236*10000</f>
        <v>1049600</v>
      </c>
      <c r="F236" s="1">
        <f t="shared" si="32"/>
        <v>799828.50609756098</v>
      </c>
      <c r="G236" s="1">
        <f t="shared" si="33"/>
        <v>399914.25304878049</v>
      </c>
      <c r="H236" s="1">
        <f t="shared" si="34"/>
        <v>159965.70121951221</v>
      </c>
      <c r="I236" s="1">
        <f t="shared" si="35"/>
        <v>79982.850609756104</v>
      </c>
      <c r="J236" s="1">
        <f t="shared" si="36"/>
        <v>53321.900406504064</v>
      </c>
      <c r="K236" s="1">
        <f t="shared" si="37"/>
        <v>26660.950203252032</v>
      </c>
      <c r="L236" s="1">
        <f t="shared" si="38"/>
        <v>7998.2850609756097</v>
      </c>
      <c r="M236" s="4">
        <f t="shared" si="31"/>
        <v>420000000</v>
      </c>
      <c r="N236" s="4"/>
      <c r="O236" s="8"/>
      <c r="P236">
        <v>235</v>
      </c>
      <c r="Q236" s="1">
        <v>16711500000000</v>
      </c>
      <c r="R236" s="4">
        <v>420000000</v>
      </c>
      <c r="S236">
        <f>ROUND(1.02^A236,2)</f>
        <v>104.96</v>
      </c>
      <c r="T236" t="str">
        <f t="shared" si="30"/>
        <v>235,16711500000000,420000000,104,96</v>
      </c>
    </row>
    <row r="237" spans="1:20" x14ac:dyDescent="0.25">
      <c r="A237">
        <f t="shared" si="39"/>
        <v>236</v>
      </c>
      <c r="B237" s="1">
        <v>17551000000000</v>
      </c>
      <c r="C237" s="1">
        <v>839500000000</v>
      </c>
      <c r="E237" s="1">
        <f>+S237*10000</f>
        <v>1070600</v>
      </c>
      <c r="F237" s="1">
        <f t="shared" si="32"/>
        <v>804408.74276106851</v>
      </c>
      <c r="G237" s="1">
        <f t="shared" si="33"/>
        <v>402204.37138053426</v>
      </c>
      <c r="H237" s="1">
        <f t="shared" si="34"/>
        <v>160881.74855221371</v>
      </c>
      <c r="I237" s="1">
        <f t="shared" si="35"/>
        <v>80440.874276106857</v>
      </c>
      <c r="J237" s="1">
        <f t="shared" si="36"/>
        <v>53627.249517404569</v>
      </c>
      <c r="K237" s="1">
        <f t="shared" si="37"/>
        <v>26813.624758702284</v>
      </c>
      <c r="L237" s="1">
        <f t="shared" si="38"/>
        <v>8044.0874276106852</v>
      </c>
      <c r="M237" s="4">
        <f t="shared" si="31"/>
        <v>431000000</v>
      </c>
      <c r="N237" s="4"/>
      <c r="O237" s="8"/>
      <c r="P237">
        <v>236</v>
      </c>
      <c r="Q237" s="1">
        <v>17551000000000</v>
      </c>
      <c r="R237" s="4">
        <v>431000000</v>
      </c>
      <c r="S237">
        <f>ROUND(1.02^A237,2)</f>
        <v>107.06</v>
      </c>
      <c r="T237" t="str">
        <f t="shared" si="30"/>
        <v>236,17551000000000,431000000,107,06</v>
      </c>
    </row>
    <row r="238" spans="1:20" x14ac:dyDescent="0.25">
      <c r="A238">
        <f t="shared" si="39"/>
        <v>237</v>
      </c>
      <c r="B238" s="1">
        <v>18412200000000</v>
      </c>
      <c r="C238" s="1">
        <v>861200000000</v>
      </c>
      <c r="E238" s="1">
        <f>+S238*10000</f>
        <v>1092000</v>
      </c>
      <c r="F238" s="1">
        <f t="shared" si="32"/>
        <v>808516.48351648357</v>
      </c>
      <c r="G238" s="1">
        <f t="shared" si="33"/>
        <v>404258.24175824178</v>
      </c>
      <c r="H238" s="1">
        <f t="shared" si="34"/>
        <v>161703.29670329671</v>
      </c>
      <c r="I238" s="1">
        <f t="shared" si="35"/>
        <v>80851.648351648357</v>
      </c>
      <c r="J238" s="1">
        <f t="shared" si="36"/>
        <v>53901.0989010989</v>
      </c>
      <c r="K238" s="1">
        <f t="shared" si="37"/>
        <v>26950.54945054945</v>
      </c>
      <c r="L238" s="1">
        <f t="shared" si="38"/>
        <v>8085.1648351648355</v>
      </c>
      <c r="M238" s="4">
        <f t="shared" si="31"/>
        <v>441000000</v>
      </c>
      <c r="N238" s="4"/>
      <c r="O238" s="8"/>
      <c r="P238">
        <v>237</v>
      </c>
      <c r="Q238" s="1">
        <v>18412200000000</v>
      </c>
      <c r="R238" s="4">
        <v>441000000</v>
      </c>
      <c r="S238">
        <f>ROUND(1.02^A238,2)</f>
        <v>109.2</v>
      </c>
      <c r="T238" t="str">
        <f t="shared" si="30"/>
        <v>237,18412200000000,441000000,109,2</v>
      </c>
    </row>
    <row r="239" spans="1:20" x14ac:dyDescent="0.25">
      <c r="A239">
        <f t="shared" si="39"/>
        <v>238</v>
      </c>
      <c r="B239" s="1">
        <v>19295100000000</v>
      </c>
      <c r="C239" s="1">
        <v>882900000000</v>
      </c>
      <c r="E239" s="1">
        <f>+S239*10000</f>
        <v>1113900</v>
      </c>
      <c r="F239" s="1">
        <f t="shared" si="32"/>
        <v>812101.62492144713</v>
      </c>
      <c r="G239" s="1">
        <f t="shared" si="33"/>
        <v>406050.81246072357</v>
      </c>
      <c r="H239" s="1">
        <f t="shared" si="34"/>
        <v>162420.32498428944</v>
      </c>
      <c r="I239" s="1">
        <f t="shared" si="35"/>
        <v>81210.162492144722</v>
      </c>
      <c r="J239" s="1">
        <f t="shared" si="36"/>
        <v>54140.108328096481</v>
      </c>
      <c r="K239" s="1">
        <f t="shared" si="37"/>
        <v>27070.054164048241</v>
      </c>
      <c r="L239" s="1">
        <f t="shared" si="38"/>
        <v>8121.0162492144718</v>
      </c>
      <c r="M239" s="4">
        <f t="shared" si="31"/>
        <v>452000000</v>
      </c>
      <c r="N239" s="4"/>
      <c r="O239" s="8"/>
      <c r="P239">
        <v>238</v>
      </c>
      <c r="Q239" s="1">
        <v>19295100000000</v>
      </c>
      <c r="R239" s="4">
        <v>452000000</v>
      </c>
      <c r="S239">
        <f>ROUND(1.02^A239,2)</f>
        <v>111.39</v>
      </c>
      <c r="T239" t="str">
        <f t="shared" si="30"/>
        <v>238,19295100000000,452000000,111,39</v>
      </c>
    </row>
    <row r="240" spans="1:20" x14ac:dyDescent="0.25">
      <c r="A240">
        <f t="shared" si="39"/>
        <v>239</v>
      </c>
      <c r="B240" s="1">
        <v>20199700000000</v>
      </c>
      <c r="C240" s="1">
        <v>904600000000</v>
      </c>
      <c r="E240" s="1">
        <f>+S240*10000</f>
        <v>1136200</v>
      </c>
      <c r="F240" s="1">
        <f t="shared" si="32"/>
        <v>815261.39764126029</v>
      </c>
      <c r="G240" s="1">
        <f t="shared" si="33"/>
        <v>407630.69882063015</v>
      </c>
      <c r="H240" s="1">
        <f t="shared" si="34"/>
        <v>163052.27952825208</v>
      </c>
      <c r="I240" s="1">
        <f t="shared" si="35"/>
        <v>81526.139764126041</v>
      </c>
      <c r="J240" s="1">
        <f t="shared" si="36"/>
        <v>54350.759842750689</v>
      </c>
      <c r="K240" s="1">
        <f t="shared" si="37"/>
        <v>27175.379921375345</v>
      </c>
      <c r="L240" s="1">
        <f t="shared" si="38"/>
        <v>8152.6139764126037</v>
      </c>
      <c r="M240" s="4">
        <f t="shared" si="31"/>
        <v>463000000</v>
      </c>
      <c r="N240" s="4"/>
      <c r="O240" s="8"/>
      <c r="P240">
        <v>239</v>
      </c>
      <c r="Q240" s="1">
        <v>20199700000000</v>
      </c>
      <c r="R240" s="4">
        <v>463000000</v>
      </c>
      <c r="S240">
        <f>ROUND(1.02^A240,2)</f>
        <v>113.62</v>
      </c>
      <c r="T240" t="str">
        <f t="shared" si="30"/>
        <v>239,20199700000000,463000000,113,62</v>
      </c>
    </row>
    <row r="241" spans="1:20" x14ac:dyDescent="0.25">
      <c r="A241">
        <f t="shared" si="39"/>
        <v>240</v>
      </c>
      <c r="B241" s="1">
        <v>21126000000000</v>
      </c>
      <c r="C241" s="1">
        <v>926300000000</v>
      </c>
      <c r="E241" s="1">
        <f>+S241*10000</f>
        <v>1158900</v>
      </c>
      <c r="F241" s="1">
        <f t="shared" si="32"/>
        <v>818017.08516696864</v>
      </c>
      <c r="G241" s="1">
        <f t="shared" si="33"/>
        <v>409008.54258348432</v>
      </c>
      <c r="H241" s="1">
        <f t="shared" si="34"/>
        <v>163603.41703339372</v>
      </c>
      <c r="I241" s="1">
        <f t="shared" si="35"/>
        <v>81801.708516696861</v>
      </c>
      <c r="J241" s="1">
        <f t="shared" si="36"/>
        <v>54534.472344464579</v>
      </c>
      <c r="K241" s="1">
        <f t="shared" si="37"/>
        <v>27267.236172232289</v>
      </c>
      <c r="L241" s="1">
        <f t="shared" si="38"/>
        <v>8180.1708516696872</v>
      </c>
      <c r="M241" s="4">
        <f t="shared" si="31"/>
        <v>474000000</v>
      </c>
      <c r="N241" s="4"/>
      <c r="O241" s="8"/>
      <c r="P241">
        <v>240</v>
      </c>
      <c r="Q241" s="1">
        <v>21126000000000</v>
      </c>
      <c r="R241" s="4">
        <v>474000000</v>
      </c>
      <c r="S241">
        <f>ROUND(1.02^A241,2)</f>
        <v>115.89</v>
      </c>
      <c r="T241" t="str">
        <f t="shared" si="30"/>
        <v>240,21126000000000,474000000,115,89</v>
      </c>
    </row>
    <row r="242" spans="1:20" x14ac:dyDescent="0.25">
      <c r="A242">
        <f t="shared" si="39"/>
        <v>241</v>
      </c>
      <c r="B242" s="1">
        <v>22074000000000</v>
      </c>
      <c r="C242" s="1">
        <v>948000000000</v>
      </c>
      <c r="E242" s="1">
        <f>+S242*10000</f>
        <v>1182100</v>
      </c>
      <c r="F242" s="1">
        <f t="shared" si="32"/>
        <v>820319.7699010236</v>
      </c>
      <c r="G242" s="1">
        <f t="shared" si="33"/>
        <v>410159.8849505118</v>
      </c>
      <c r="H242" s="1">
        <f t="shared" si="34"/>
        <v>164063.95398020471</v>
      </c>
      <c r="I242" s="1">
        <f t="shared" si="35"/>
        <v>82031.976990102354</v>
      </c>
      <c r="J242" s="1">
        <f t="shared" si="36"/>
        <v>54687.984660068243</v>
      </c>
      <c r="K242" s="1">
        <f t="shared" si="37"/>
        <v>27343.992330034122</v>
      </c>
      <c r="L242" s="1">
        <f t="shared" si="38"/>
        <v>8203.1976990102357</v>
      </c>
      <c r="M242" s="4">
        <f t="shared" si="31"/>
        <v>485000000</v>
      </c>
      <c r="N242" s="4"/>
      <c r="O242" s="8"/>
      <c r="P242">
        <v>241</v>
      </c>
      <c r="Q242" s="1">
        <v>22074000000000</v>
      </c>
      <c r="R242" s="4">
        <v>485000000</v>
      </c>
      <c r="S242">
        <f>ROUND(1.02^A242,2)</f>
        <v>118.21</v>
      </c>
      <c r="T242" t="str">
        <f t="shared" si="30"/>
        <v>241,22074000000000,485000000,118,21</v>
      </c>
    </row>
    <row r="243" spans="1:20" x14ac:dyDescent="0.25">
      <c r="A243">
        <f t="shared" si="39"/>
        <v>242</v>
      </c>
      <c r="B243" s="1">
        <v>23043700000000</v>
      </c>
      <c r="C243" s="1">
        <v>969700000000</v>
      </c>
      <c r="E243" s="1">
        <f>+S243*10000</f>
        <v>1205700</v>
      </c>
      <c r="F243" s="1">
        <f t="shared" si="32"/>
        <v>822260.9272621714</v>
      </c>
      <c r="G243" s="1">
        <f t="shared" si="33"/>
        <v>411130.4636310857</v>
      </c>
      <c r="H243" s="1">
        <f t="shared" si="34"/>
        <v>164452.18545243426</v>
      </c>
      <c r="I243" s="1">
        <f t="shared" si="35"/>
        <v>82226.092726217132</v>
      </c>
      <c r="J243" s="1">
        <f t="shared" si="36"/>
        <v>54817.395150811426</v>
      </c>
      <c r="K243" s="1">
        <f t="shared" si="37"/>
        <v>27408.697575405713</v>
      </c>
      <c r="L243" s="1">
        <f t="shared" si="38"/>
        <v>8222.6092726217139</v>
      </c>
      <c r="M243" s="4">
        <f t="shared" si="31"/>
        <v>496000000</v>
      </c>
      <c r="N243" s="4"/>
      <c r="O243" s="8"/>
      <c r="P243">
        <v>242</v>
      </c>
      <c r="Q243" s="1">
        <v>23043700000000</v>
      </c>
      <c r="R243" s="4">
        <v>496000000</v>
      </c>
      <c r="S243">
        <f>ROUND(1.02^A243,2)</f>
        <v>120.57</v>
      </c>
      <c r="T243" t="str">
        <f t="shared" si="30"/>
        <v>242,23043700000000,496000000,120,57</v>
      </c>
    </row>
    <row r="244" spans="1:20" x14ac:dyDescent="0.25">
      <c r="A244">
        <f t="shared" si="39"/>
        <v>243</v>
      </c>
      <c r="B244" s="1">
        <v>24035100000000</v>
      </c>
      <c r="C244" s="1">
        <v>991400000000</v>
      </c>
      <c r="E244" s="1">
        <f>+S244*10000</f>
        <v>1229800</v>
      </c>
      <c r="F244" s="1">
        <f t="shared" si="32"/>
        <v>823792.48658318422</v>
      </c>
      <c r="G244" s="1">
        <f t="shared" si="33"/>
        <v>411896.24329159211</v>
      </c>
      <c r="H244" s="1">
        <f t="shared" si="34"/>
        <v>164758.49731663684</v>
      </c>
      <c r="I244" s="1">
        <f t="shared" si="35"/>
        <v>82379.248658318422</v>
      </c>
      <c r="J244" s="1">
        <f t="shared" si="36"/>
        <v>54919.499105545619</v>
      </c>
      <c r="K244" s="1">
        <f t="shared" si="37"/>
        <v>27459.74955277281</v>
      </c>
      <c r="L244" s="1">
        <f t="shared" si="38"/>
        <v>8237.9248658318429</v>
      </c>
      <c r="M244" s="4">
        <f t="shared" si="31"/>
        <v>507000000</v>
      </c>
      <c r="N244" s="4"/>
      <c r="O244" s="8"/>
      <c r="P244">
        <v>243</v>
      </c>
      <c r="Q244" s="1">
        <v>24035100000000</v>
      </c>
      <c r="R244" s="4">
        <v>507000000</v>
      </c>
      <c r="S244">
        <f>ROUND(1.02^A244,2)</f>
        <v>122.98</v>
      </c>
      <c r="T244" t="str">
        <f t="shared" si="30"/>
        <v>243,24035100000000,507000000,122,98</v>
      </c>
    </row>
    <row r="245" spans="1:20" x14ac:dyDescent="0.25">
      <c r="A245">
        <f t="shared" si="39"/>
        <v>244</v>
      </c>
      <c r="B245" s="1">
        <v>25048200000000</v>
      </c>
      <c r="C245" s="1">
        <v>1013100000000</v>
      </c>
      <c r="E245" s="1">
        <f>+S245*10000</f>
        <v>1254400</v>
      </c>
      <c r="F245" s="1">
        <f t="shared" si="32"/>
        <v>824936.22448979598</v>
      </c>
      <c r="G245" s="1">
        <f t="shared" si="33"/>
        <v>412468.11224489799</v>
      </c>
      <c r="H245" s="1">
        <f t="shared" si="34"/>
        <v>164987.24489795917</v>
      </c>
      <c r="I245" s="1">
        <f t="shared" si="35"/>
        <v>82493.622448979586</v>
      </c>
      <c r="J245" s="1">
        <f t="shared" si="36"/>
        <v>54995.748299319726</v>
      </c>
      <c r="K245" s="1">
        <f t="shared" si="37"/>
        <v>27497.874149659863</v>
      </c>
      <c r="L245" s="1">
        <f t="shared" si="38"/>
        <v>8249.3622448979586</v>
      </c>
      <c r="M245" s="4">
        <f t="shared" si="31"/>
        <v>517000000</v>
      </c>
      <c r="N245" s="4"/>
      <c r="O245" s="8"/>
      <c r="P245">
        <v>244</v>
      </c>
      <c r="Q245" s="1">
        <v>25048200000000</v>
      </c>
      <c r="R245" s="4">
        <v>517000000</v>
      </c>
      <c r="S245">
        <f>ROUND(1.02^A245,2)</f>
        <v>125.44</v>
      </c>
      <c r="T245" t="str">
        <f t="shared" si="30"/>
        <v>244,25048200000000,517000000,125,44</v>
      </c>
    </row>
    <row r="246" spans="1:20" x14ac:dyDescent="0.25">
      <c r="A246">
        <f t="shared" si="39"/>
        <v>245</v>
      </c>
      <c r="B246" s="1">
        <v>26083000000000</v>
      </c>
      <c r="C246" s="1">
        <v>1034800000000</v>
      </c>
      <c r="E246" s="1">
        <f>+S246*10000</f>
        <v>1279500</v>
      </c>
      <c r="F246" s="1">
        <f t="shared" si="32"/>
        <v>825713.16920672136</v>
      </c>
      <c r="G246" s="1">
        <f t="shared" si="33"/>
        <v>412856.58460336068</v>
      </c>
      <c r="H246" s="1">
        <f t="shared" si="34"/>
        <v>165142.63384134427</v>
      </c>
      <c r="I246" s="1">
        <f t="shared" si="35"/>
        <v>82571.316920672136</v>
      </c>
      <c r="J246" s="1">
        <f t="shared" si="36"/>
        <v>55047.544613781422</v>
      </c>
      <c r="K246" s="1">
        <f t="shared" si="37"/>
        <v>27523.772306890711</v>
      </c>
      <c r="L246" s="1">
        <f t="shared" si="38"/>
        <v>8257.1316920672143</v>
      </c>
      <c r="M246" s="4">
        <f t="shared" si="31"/>
        <v>528000000</v>
      </c>
      <c r="N246" s="4"/>
      <c r="O246" s="8"/>
      <c r="P246">
        <v>245</v>
      </c>
      <c r="Q246" s="1">
        <v>26083000000000</v>
      </c>
      <c r="R246" s="4">
        <v>528000000</v>
      </c>
      <c r="S246">
        <f>ROUND(1.02^A246,2)</f>
        <v>127.95</v>
      </c>
      <c r="T246" t="str">
        <f t="shared" si="30"/>
        <v>245,26083000000000,528000000,127,95</v>
      </c>
    </row>
    <row r="247" spans="1:20" x14ac:dyDescent="0.25">
      <c r="A247">
        <f t="shared" si="39"/>
        <v>246</v>
      </c>
      <c r="B247" s="1">
        <v>27139500000000</v>
      </c>
      <c r="C247" s="1">
        <v>1056500000000</v>
      </c>
      <c r="E247" s="1">
        <f>+S247*10000</f>
        <v>1305100</v>
      </c>
      <c r="F247" s="1">
        <f t="shared" si="32"/>
        <v>826143.59052946139</v>
      </c>
      <c r="G247" s="1">
        <f t="shared" si="33"/>
        <v>413071.7952647307</v>
      </c>
      <c r="H247" s="1">
        <f t="shared" si="34"/>
        <v>165228.71810589227</v>
      </c>
      <c r="I247" s="1">
        <f t="shared" si="35"/>
        <v>82614.359052946136</v>
      </c>
      <c r="J247" s="1">
        <f t="shared" si="36"/>
        <v>55076.239368630755</v>
      </c>
      <c r="K247" s="1">
        <f t="shared" si="37"/>
        <v>27538.119684315378</v>
      </c>
      <c r="L247" s="1">
        <f t="shared" si="38"/>
        <v>8261.4359052946129</v>
      </c>
      <c r="M247" s="4">
        <f t="shared" si="31"/>
        <v>539000000</v>
      </c>
      <c r="N247" s="4"/>
      <c r="O247" s="8"/>
      <c r="P247">
        <v>246</v>
      </c>
      <c r="Q247" s="1">
        <v>27139500000000</v>
      </c>
      <c r="R247" s="4">
        <v>539000000</v>
      </c>
      <c r="S247">
        <f>ROUND(1.02^A247,2)</f>
        <v>130.51</v>
      </c>
      <c r="T247" t="str">
        <f t="shared" si="30"/>
        <v>246,27139500000000,539000000,130,51</v>
      </c>
    </row>
    <row r="248" spans="1:20" x14ac:dyDescent="0.25">
      <c r="A248">
        <f t="shared" si="39"/>
        <v>247</v>
      </c>
      <c r="B248" s="1">
        <v>28217700000000</v>
      </c>
      <c r="C248" s="1">
        <v>1078200000000</v>
      </c>
      <c r="E248" s="1">
        <f>+S248*10000</f>
        <v>1331200</v>
      </c>
      <c r="F248" s="1">
        <f t="shared" si="32"/>
        <v>826246.99519230775</v>
      </c>
      <c r="G248" s="1">
        <f t="shared" si="33"/>
        <v>413123.49759615387</v>
      </c>
      <c r="H248" s="1">
        <f t="shared" si="34"/>
        <v>165249.39903846153</v>
      </c>
      <c r="I248" s="1">
        <f t="shared" si="35"/>
        <v>82624.699519230766</v>
      </c>
      <c r="J248" s="1">
        <f t="shared" si="36"/>
        <v>55083.133012820515</v>
      </c>
      <c r="K248" s="1">
        <f t="shared" si="37"/>
        <v>27541.566506410258</v>
      </c>
      <c r="L248" s="1">
        <f t="shared" si="38"/>
        <v>8262.4699519230762</v>
      </c>
      <c r="M248" s="4">
        <f t="shared" si="31"/>
        <v>550000000</v>
      </c>
      <c r="N248" s="4"/>
      <c r="O248" s="8"/>
      <c r="P248">
        <v>247</v>
      </c>
      <c r="Q248" s="1">
        <v>28217700000000</v>
      </c>
      <c r="R248" s="4">
        <v>550000000</v>
      </c>
      <c r="S248">
        <f>ROUND(1.02^A248,2)</f>
        <v>133.12</v>
      </c>
      <c r="T248" t="str">
        <f t="shared" si="30"/>
        <v>247,28217700000000,550000000,133,12</v>
      </c>
    </row>
    <row r="249" spans="1:20" x14ac:dyDescent="0.25">
      <c r="A249">
        <f t="shared" si="39"/>
        <v>248</v>
      </c>
      <c r="B249" s="1">
        <v>29317600000000</v>
      </c>
      <c r="C249" s="1">
        <v>1099900000000</v>
      </c>
      <c r="E249" s="1">
        <f>+S249*10000</f>
        <v>1357800</v>
      </c>
      <c r="F249" s="1">
        <f t="shared" si="32"/>
        <v>826042.1269700987</v>
      </c>
      <c r="G249" s="1">
        <f t="shared" si="33"/>
        <v>413021.06348504935</v>
      </c>
      <c r="H249" s="1">
        <f t="shared" si="34"/>
        <v>165208.42539401975</v>
      </c>
      <c r="I249" s="1">
        <f t="shared" si="35"/>
        <v>82604.212697009876</v>
      </c>
      <c r="J249" s="1">
        <f t="shared" si="36"/>
        <v>55069.47513133991</v>
      </c>
      <c r="K249" s="1">
        <f t="shared" si="37"/>
        <v>27534.737565669955</v>
      </c>
      <c r="L249" s="1">
        <f t="shared" si="38"/>
        <v>8260.4212697009862</v>
      </c>
      <c r="M249" s="4">
        <f t="shared" si="31"/>
        <v>561000000</v>
      </c>
      <c r="N249" s="4"/>
      <c r="O249" s="8"/>
      <c r="P249">
        <v>248</v>
      </c>
      <c r="Q249" s="1">
        <v>29317600000000</v>
      </c>
      <c r="R249" s="4">
        <v>561000000</v>
      </c>
      <c r="S249">
        <f>ROUND(1.02^A249,2)</f>
        <v>135.78</v>
      </c>
      <c r="T249" t="str">
        <f t="shared" si="30"/>
        <v>248,29317600000000,561000000,135,78</v>
      </c>
    </row>
    <row r="250" spans="1:20" x14ac:dyDescent="0.25">
      <c r="A250">
        <f t="shared" si="39"/>
        <v>249</v>
      </c>
      <c r="B250" s="1">
        <v>30439200000000</v>
      </c>
      <c r="C250" s="1">
        <v>1121600000000</v>
      </c>
      <c r="E250" s="1">
        <f>+S250*10000</f>
        <v>1385000</v>
      </c>
      <c r="F250" s="1">
        <f t="shared" si="32"/>
        <v>825487.36462093866</v>
      </c>
      <c r="G250" s="1">
        <f t="shared" si="33"/>
        <v>412743.68231046933</v>
      </c>
      <c r="H250" s="1">
        <f t="shared" si="34"/>
        <v>165097.47292418772</v>
      </c>
      <c r="I250" s="1">
        <f t="shared" si="35"/>
        <v>82548.736462093861</v>
      </c>
      <c r="J250" s="1">
        <f t="shared" si="36"/>
        <v>55032.49097472924</v>
      </c>
      <c r="K250" s="1">
        <f t="shared" si="37"/>
        <v>27516.24548736462</v>
      </c>
      <c r="L250" s="1">
        <f t="shared" si="38"/>
        <v>8254.8736462093857</v>
      </c>
      <c r="M250" s="4">
        <f t="shared" si="31"/>
        <v>572000000</v>
      </c>
      <c r="N250" s="4"/>
      <c r="O250" s="8"/>
      <c r="P250">
        <v>249</v>
      </c>
      <c r="Q250" s="1">
        <v>30439200000000</v>
      </c>
      <c r="R250" s="4">
        <v>572000000</v>
      </c>
      <c r="S250">
        <f>ROUND(1.02^A250,2)</f>
        <v>138.5</v>
      </c>
      <c r="T250" t="str">
        <f t="shared" si="30"/>
        <v>249,30439200000000,572000000,138,5</v>
      </c>
    </row>
    <row r="251" spans="1:20" x14ac:dyDescent="0.25">
      <c r="A251">
        <f t="shared" si="39"/>
        <v>250</v>
      </c>
      <c r="B251" s="1">
        <v>31582500000000</v>
      </c>
      <c r="C251" s="1">
        <v>1143300000000</v>
      </c>
      <c r="E251" s="1">
        <f>+S251*10000</f>
        <v>1412700</v>
      </c>
      <c r="F251" s="1">
        <f t="shared" si="32"/>
        <v>824661.99476180365</v>
      </c>
      <c r="G251" s="1">
        <f t="shared" si="33"/>
        <v>412330.99738090183</v>
      </c>
      <c r="H251" s="1">
        <f t="shared" si="34"/>
        <v>164932.39895236073</v>
      </c>
      <c r="I251" s="1">
        <f t="shared" si="35"/>
        <v>82466.199476180365</v>
      </c>
      <c r="J251" s="1">
        <f t="shared" si="36"/>
        <v>54977.466317453574</v>
      </c>
      <c r="K251" s="1">
        <f t="shared" si="37"/>
        <v>27488.733158726787</v>
      </c>
      <c r="L251" s="1">
        <f t="shared" si="38"/>
        <v>8246.6199476180373</v>
      </c>
      <c r="M251" s="4">
        <f t="shared" si="31"/>
        <v>583000000</v>
      </c>
      <c r="N251" s="4"/>
      <c r="O251" s="8"/>
      <c r="P251">
        <v>250</v>
      </c>
      <c r="Q251" s="1">
        <v>31582500000000</v>
      </c>
      <c r="R251" s="4">
        <v>583000000</v>
      </c>
      <c r="S251">
        <f>ROUND(1.02^A251,2)</f>
        <v>141.27000000000001</v>
      </c>
      <c r="T251" t="str">
        <f t="shared" si="30"/>
        <v>250,31582500000000,583000000,141,27</v>
      </c>
    </row>
    <row r="252" spans="1:20" x14ac:dyDescent="0.25">
      <c r="A252">
        <f t="shared" si="39"/>
        <v>251</v>
      </c>
      <c r="B252" s="1">
        <v>32747500000000</v>
      </c>
      <c r="C252" s="1">
        <v>1165000000000</v>
      </c>
      <c r="E252" s="1">
        <f>+S252*10000</f>
        <v>1440900</v>
      </c>
      <c r="F252" s="1">
        <f t="shared" si="32"/>
        <v>823582.48317024077</v>
      </c>
      <c r="G252" s="1">
        <f t="shared" si="33"/>
        <v>411791.24158512038</v>
      </c>
      <c r="H252" s="1">
        <f t="shared" si="34"/>
        <v>164716.49663404818</v>
      </c>
      <c r="I252" s="1">
        <f t="shared" si="35"/>
        <v>82358.248317024088</v>
      </c>
      <c r="J252" s="1">
        <f t="shared" si="36"/>
        <v>54905.498878016057</v>
      </c>
      <c r="K252" s="1">
        <f t="shared" si="37"/>
        <v>27452.749439008028</v>
      </c>
      <c r="L252" s="1">
        <f t="shared" si="38"/>
        <v>8235.8248317024081</v>
      </c>
      <c r="M252" s="4">
        <f t="shared" si="31"/>
        <v>593000000</v>
      </c>
      <c r="N252" s="4"/>
      <c r="O252" s="8"/>
      <c r="P252">
        <v>251</v>
      </c>
      <c r="Q252" s="1">
        <v>32747500000000</v>
      </c>
      <c r="R252" s="4">
        <v>593000000</v>
      </c>
      <c r="S252">
        <f>ROUND(1.02^A252,2)</f>
        <v>144.09</v>
      </c>
      <c r="T252" t="str">
        <f t="shared" si="30"/>
        <v>251,32747500000000,593000000,144,09</v>
      </c>
    </row>
    <row r="253" spans="1:20" x14ac:dyDescent="0.25">
      <c r="A253">
        <f t="shared" si="39"/>
        <v>252</v>
      </c>
      <c r="B253" s="1">
        <v>33934200000000</v>
      </c>
      <c r="C253" s="1">
        <v>1186700000000</v>
      </c>
      <c r="E253" s="1">
        <f>+S253*10000</f>
        <v>1469700</v>
      </c>
      <c r="F253" s="1">
        <f t="shared" si="32"/>
        <v>822208.61400285771</v>
      </c>
      <c r="G253" s="1">
        <f t="shared" si="33"/>
        <v>411104.30700142885</v>
      </c>
      <c r="H253" s="1">
        <f t="shared" si="34"/>
        <v>164441.72280057156</v>
      </c>
      <c r="I253" s="1">
        <f t="shared" si="35"/>
        <v>82220.861400285779</v>
      </c>
      <c r="J253" s="1">
        <f t="shared" si="36"/>
        <v>54813.907600190512</v>
      </c>
      <c r="K253" s="1">
        <f t="shared" si="37"/>
        <v>27406.953800095256</v>
      </c>
      <c r="L253" s="1">
        <f t="shared" si="38"/>
        <v>8222.0861400285776</v>
      </c>
      <c r="M253" s="4">
        <f t="shared" si="31"/>
        <v>604000000</v>
      </c>
      <c r="N253" s="4"/>
      <c r="O253" s="8"/>
      <c r="P253">
        <v>252</v>
      </c>
      <c r="Q253" s="1">
        <v>33934200000000</v>
      </c>
      <c r="R253" s="4">
        <v>604000000</v>
      </c>
      <c r="S253">
        <f>ROUND(1.02^A253,2)</f>
        <v>146.97</v>
      </c>
      <c r="T253" t="str">
        <f t="shared" si="30"/>
        <v>252,33934200000000,604000000,146,97</v>
      </c>
    </row>
    <row r="254" spans="1:20" x14ac:dyDescent="0.25">
      <c r="A254">
        <f t="shared" si="39"/>
        <v>253</v>
      </c>
      <c r="B254" s="1">
        <v>35142600000000</v>
      </c>
      <c r="C254" s="1">
        <v>1208400000000</v>
      </c>
      <c r="E254" s="1">
        <f>+S254*10000</f>
        <v>1499100</v>
      </c>
      <c r="F254" s="1">
        <f t="shared" si="32"/>
        <v>820559.00206790736</v>
      </c>
      <c r="G254" s="1">
        <f t="shared" si="33"/>
        <v>410279.50103395368</v>
      </c>
      <c r="H254" s="1">
        <f t="shared" si="34"/>
        <v>164111.80041358148</v>
      </c>
      <c r="I254" s="1">
        <f t="shared" si="35"/>
        <v>82055.900206790742</v>
      </c>
      <c r="J254" s="1">
        <f t="shared" si="36"/>
        <v>54703.933471193828</v>
      </c>
      <c r="K254" s="1">
        <f t="shared" si="37"/>
        <v>27351.966735596914</v>
      </c>
      <c r="L254" s="1">
        <f t="shared" si="38"/>
        <v>8205.5900206790739</v>
      </c>
      <c r="M254" s="4">
        <f t="shared" si="31"/>
        <v>615000000</v>
      </c>
      <c r="N254" s="4"/>
      <c r="O254" s="8"/>
      <c r="P254">
        <v>253</v>
      </c>
      <c r="Q254" s="1">
        <v>35142600000000</v>
      </c>
      <c r="R254" s="4">
        <v>615000000</v>
      </c>
      <c r="S254">
        <f>ROUND(1.02^A254,2)</f>
        <v>149.91</v>
      </c>
      <c r="T254" t="str">
        <f t="shared" si="30"/>
        <v>253,35142600000000,615000000,149,91</v>
      </c>
    </row>
    <row r="255" spans="1:20" x14ac:dyDescent="0.25">
      <c r="A255">
        <f t="shared" si="39"/>
        <v>254</v>
      </c>
      <c r="B255" s="1">
        <v>36372700000000</v>
      </c>
      <c r="C255" s="1">
        <v>1230100000000</v>
      </c>
      <c r="E255" s="1">
        <f>+S255*10000</f>
        <v>1529100</v>
      </c>
      <c r="F255" s="1">
        <f t="shared" si="32"/>
        <v>818651.49434307765</v>
      </c>
      <c r="G255" s="1">
        <f t="shared" si="33"/>
        <v>409325.74717153882</v>
      </c>
      <c r="H255" s="1">
        <f t="shared" si="34"/>
        <v>163730.29886861553</v>
      </c>
      <c r="I255" s="1">
        <f t="shared" si="35"/>
        <v>81865.149434307765</v>
      </c>
      <c r="J255" s="1">
        <f t="shared" si="36"/>
        <v>54576.766289538507</v>
      </c>
      <c r="K255" s="1">
        <f t="shared" si="37"/>
        <v>27288.383144769254</v>
      </c>
      <c r="L255" s="1">
        <f t="shared" si="38"/>
        <v>8186.5149434307759</v>
      </c>
      <c r="M255" s="4">
        <f t="shared" si="31"/>
        <v>626000000</v>
      </c>
      <c r="N255" s="4"/>
      <c r="O255" s="8"/>
      <c r="P255">
        <v>254</v>
      </c>
      <c r="Q255" s="1">
        <v>36372700000000</v>
      </c>
      <c r="R255" s="4">
        <v>626000000</v>
      </c>
      <c r="S255">
        <f>ROUND(1.02^A255,2)</f>
        <v>152.91</v>
      </c>
      <c r="T255" t="str">
        <f t="shared" si="30"/>
        <v>254,36372700000000,626000000,152,91</v>
      </c>
    </row>
    <row r="256" spans="1:20" x14ac:dyDescent="0.25">
      <c r="A256">
        <f t="shared" si="39"/>
        <v>255</v>
      </c>
      <c r="B256" s="1">
        <v>37624500000000</v>
      </c>
      <c r="C256" s="1">
        <v>1251800000000</v>
      </c>
      <c r="E256" s="1">
        <f>+S256*10000</f>
        <v>1559700</v>
      </c>
      <c r="F256" s="1">
        <f t="shared" si="32"/>
        <v>816503.17368724756</v>
      </c>
      <c r="G256" s="1">
        <f t="shared" si="33"/>
        <v>408251.58684362378</v>
      </c>
      <c r="H256" s="1">
        <f t="shared" si="34"/>
        <v>163300.63473744952</v>
      </c>
      <c r="I256" s="1">
        <f t="shared" si="35"/>
        <v>81650.317368724762</v>
      </c>
      <c r="J256" s="1">
        <f t="shared" si="36"/>
        <v>54433.544912483172</v>
      </c>
      <c r="K256" s="1">
        <f t="shared" si="37"/>
        <v>27216.772456241586</v>
      </c>
      <c r="L256" s="1">
        <f t="shared" si="38"/>
        <v>8165.0317368724754</v>
      </c>
      <c r="M256" s="4">
        <f t="shared" si="31"/>
        <v>637000000</v>
      </c>
      <c r="N256" s="4"/>
      <c r="O256" s="8"/>
      <c r="P256">
        <v>255</v>
      </c>
      <c r="Q256" s="1">
        <v>37624500000000</v>
      </c>
      <c r="R256" s="4">
        <v>637000000</v>
      </c>
      <c r="S256">
        <f>ROUND(1.02^A256,2)</f>
        <v>155.97</v>
      </c>
      <c r="T256" t="str">
        <f t="shared" si="30"/>
        <v>255,37624500000000,637000000,155,97</v>
      </c>
    </row>
    <row r="257" spans="1:20" x14ac:dyDescent="0.25">
      <c r="A257">
        <f t="shared" si="39"/>
        <v>256</v>
      </c>
      <c r="B257" s="1">
        <v>38898000000000</v>
      </c>
      <c r="C257" s="1">
        <v>1273500000000</v>
      </c>
      <c r="E257" s="1">
        <f>+S257*10000</f>
        <v>1590900</v>
      </c>
      <c r="F257" s="1">
        <f t="shared" si="32"/>
        <v>814130.36645923695</v>
      </c>
      <c r="G257" s="1">
        <f t="shared" si="33"/>
        <v>407065.18322961847</v>
      </c>
      <c r="H257" s="1">
        <f t="shared" si="34"/>
        <v>162826.0732918474</v>
      </c>
      <c r="I257" s="1">
        <f t="shared" si="35"/>
        <v>81413.036645923698</v>
      </c>
      <c r="J257" s="1">
        <f t="shared" si="36"/>
        <v>54275.357763949127</v>
      </c>
      <c r="K257" s="1">
        <f t="shared" si="37"/>
        <v>27137.678881974563</v>
      </c>
      <c r="L257" s="1">
        <f t="shared" si="38"/>
        <v>8141.3036645923694</v>
      </c>
      <c r="M257" s="4">
        <f t="shared" si="31"/>
        <v>648000000</v>
      </c>
      <c r="N257" s="4"/>
      <c r="O257" s="8"/>
      <c r="P257">
        <v>256</v>
      </c>
      <c r="Q257" s="1">
        <v>38898000000000</v>
      </c>
      <c r="R257" s="4">
        <v>648000000</v>
      </c>
      <c r="S257">
        <f>ROUND(1.02^A257,2)</f>
        <v>159.09</v>
      </c>
      <c r="T257" t="str">
        <f t="shared" si="30"/>
        <v>256,38898000000000,648000000,159,09</v>
      </c>
    </row>
    <row r="258" spans="1:20" x14ac:dyDescent="0.25">
      <c r="A258">
        <f t="shared" si="39"/>
        <v>257</v>
      </c>
      <c r="B258" s="1">
        <v>40193200000000</v>
      </c>
      <c r="C258" s="1">
        <v>1295200000000</v>
      </c>
      <c r="E258" s="1">
        <f>+S258*10000</f>
        <v>1622700</v>
      </c>
      <c r="F258" s="1">
        <f t="shared" si="32"/>
        <v>811548.65347876993</v>
      </c>
      <c r="G258" s="1">
        <f t="shared" si="33"/>
        <v>405774.32673938497</v>
      </c>
      <c r="H258" s="1">
        <f t="shared" si="34"/>
        <v>162309.730695754</v>
      </c>
      <c r="I258" s="1">
        <f t="shared" si="35"/>
        <v>81154.865347876999</v>
      </c>
      <c r="J258" s="1">
        <f t="shared" si="36"/>
        <v>54103.24356525133</v>
      </c>
      <c r="K258" s="1">
        <f t="shared" si="37"/>
        <v>27051.621782625665</v>
      </c>
      <c r="L258" s="1">
        <f t="shared" si="38"/>
        <v>8115.4865347876994</v>
      </c>
      <c r="M258" s="4">
        <f t="shared" si="31"/>
        <v>658000000</v>
      </c>
      <c r="N258" s="4"/>
      <c r="O258" s="8"/>
      <c r="P258">
        <v>257</v>
      </c>
      <c r="Q258" s="1">
        <v>40193200000000</v>
      </c>
      <c r="R258" s="4">
        <v>658000000</v>
      </c>
      <c r="S258">
        <f>ROUND(1.02^A258,2)</f>
        <v>162.27000000000001</v>
      </c>
      <c r="T258" t="str">
        <f t="shared" ref="T258:T321" si="40">P258&amp;","&amp;Q258&amp;","&amp;R258&amp;","&amp;S258</f>
        <v>257,40193200000000,658000000,162,27</v>
      </c>
    </row>
    <row r="259" spans="1:20" x14ac:dyDescent="0.25">
      <c r="A259">
        <f t="shared" si="39"/>
        <v>258</v>
      </c>
      <c r="B259" s="1">
        <v>41510100000000</v>
      </c>
      <c r="C259" s="1">
        <v>1316900000000</v>
      </c>
      <c r="E259" s="1">
        <f>+S259*10000</f>
        <v>1655200</v>
      </c>
      <c r="F259" s="1">
        <f t="shared" si="32"/>
        <v>808724.02126631222</v>
      </c>
      <c r="G259" s="1">
        <f t="shared" si="33"/>
        <v>404362.01063315611</v>
      </c>
      <c r="H259" s="1">
        <f t="shared" si="34"/>
        <v>161744.80425326244</v>
      </c>
      <c r="I259" s="1">
        <f t="shared" si="35"/>
        <v>80872.402126631219</v>
      </c>
      <c r="J259" s="1">
        <f t="shared" si="36"/>
        <v>53914.93475108748</v>
      </c>
      <c r="K259" s="1">
        <f t="shared" si="37"/>
        <v>26957.46737554374</v>
      </c>
      <c r="L259" s="1">
        <f t="shared" si="38"/>
        <v>8087.2402126631223</v>
      </c>
      <c r="M259" s="4">
        <f t="shared" ref="M259:M322" si="41">ROUND(MAX(E260*6.3*10%,C260*0.05%),-MAX(2,INT(LOG10(MAX(E260*6.3*10%,C260*0.05%)))-2))</f>
        <v>669000000</v>
      </c>
      <c r="N259" s="4"/>
      <c r="O259" s="8"/>
      <c r="P259">
        <v>258</v>
      </c>
      <c r="Q259" s="1">
        <v>41510100000000</v>
      </c>
      <c r="R259" s="4">
        <v>669000000</v>
      </c>
      <c r="S259">
        <f>ROUND(1.02^A259,2)</f>
        <v>165.52</v>
      </c>
      <c r="T259" t="str">
        <f t="shared" si="40"/>
        <v>258,41510100000000,669000000,165,52</v>
      </c>
    </row>
    <row r="260" spans="1:20" x14ac:dyDescent="0.25">
      <c r="A260">
        <f t="shared" si="39"/>
        <v>259</v>
      </c>
      <c r="B260" s="1">
        <v>42848700000000</v>
      </c>
      <c r="C260" s="1">
        <v>1338600000000</v>
      </c>
      <c r="E260" s="1">
        <f>+S260*10000</f>
        <v>1688300.0000000002</v>
      </c>
      <c r="F260" s="1">
        <f t="shared" ref="F260:F323" si="42">$C261/($E260*1)</f>
        <v>805721.73191968235</v>
      </c>
      <c r="G260" s="1">
        <f t="shared" ref="G260:G323" si="43">$C261/($E260*2)</f>
        <v>402860.86595984118</v>
      </c>
      <c r="H260" s="1">
        <f t="shared" ref="H260:H323" si="44">$C261/($E260*5)</f>
        <v>161144.34638393647</v>
      </c>
      <c r="I260" s="1">
        <f t="shared" ref="I260:I323" si="45">$C261/($E260*10)</f>
        <v>80572.173191968235</v>
      </c>
      <c r="J260" s="1">
        <f t="shared" ref="J260:J323" si="46">$C261/($E260*15)</f>
        <v>53714.782127978826</v>
      </c>
      <c r="K260" s="1">
        <f t="shared" ref="K260:K323" si="47">$C261/($E260*30)</f>
        <v>26857.391063989413</v>
      </c>
      <c r="L260" s="1">
        <f t="shared" ref="L260:L323" si="48">$C261/($E260*100)</f>
        <v>8057.2173191968241</v>
      </c>
      <c r="M260" s="4">
        <f t="shared" si="41"/>
        <v>680000000</v>
      </c>
      <c r="N260" s="4"/>
      <c r="O260" s="8"/>
      <c r="P260">
        <v>259</v>
      </c>
      <c r="Q260" s="1">
        <v>42848700000000</v>
      </c>
      <c r="R260" s="4">
        <v>680000000</v>
      </c>
      <c r="S260">
        <f>ROUND(1.02^A260,2)</f>
        <v>168.83</v>
      </c>
      <c r="T260" t="str">
        <f t="shared" si="40"/>
        <v>259,42848700000000,680000000,168,83</v>
      </c>
    </row>
    <row r="261" spans="1:20" x14ac:dyDescent="0.25">
      <c r="A261">
        <f t="shared" ref="A261:A324" si="49">+A260+1</f>
        <v>260</v>
      </c>
      <c r="B261" s="1">
        <v>44209000000000</v>
      </c>
      <c r="C261" s="1">
        <v>1360300000000</v>
      </c>
      <c r="E261" s="1">
        <f>+S261*10000</f>
        <v>1722000</v>
      </c>
      <c r="F261" s="1">
        <f t="shared" si="42"/>
        <v>802555.16840882692</v>
      </c>
      <c r="G261" s="1">
        <f t="shared" si="43"/>
        <v>401277.58420441346</v>
      </c>
      <c r="H261" s="1">
        <f t="shared" si="44"/>
        <v>160511.0336817654</v>
      </c>
      <c r="I261" s="1">
        <f t="shared" si="45"/>
        <v>80255.516840882701</v>
      </c>
      <c r="J261" s="1">
        <f t="shared" si="46"/>
        <v>53503.677893921798</v>
      </c>
      <c r="K261" s="1">
        <f t="shared" si="47"/>
        <v>26751.838946960899</v>
      </c>
      <c r="L261" s="1">
        <f t="shared" si="48"/>
        <v>8025.5516840882692</v>
      </c>
      <c r="M261" s="4">
        <f t="shared" si="41"/>
        <v>691000000</v>
      </c>
      <c r="N261" s="4"/>
      <c r="O261" s="8"/>
      <c r="P261">
        <v>260</v>
      </c>
      <c r="Q261" s="1">
        <v>44209000000000</v>
      </c>
      <c r="R261" s="4">
        <v>691000000</v>
      </c>
      <c r="S261">
        <f>ROUND(1.02^A261,2)</f>
        <v>172.2</v>
      </c>
      <c r="T261" t="str">
        <f t="shared" si="40"/>
        <v>260,44209000000000,691000000,172,2</v>
      </c>
    </row>
    <row r="262" spans="1:20" x14ac:dyDescent="0.25">
      <c r="A262">
        <f t="shared" si="49"/>
        <v>261</v>
      </c>
      <c r="B262" s="1">
        <v>45591000000000</v>
      </c>
      <c r="C262" s="1">
        <v>1382000000000</v>
      </c>
      <c r="E262" s="1">
        <f>+S262*10000</f>
        <v>1756500</v>
      </c>
      <c r="F262" s="1">
        <f t="shared" si="42"/>
        <v>799146.02903501282</v>
      </c>
      <c r="G262" s="1">
        <f t="shared" si="43"/>
        <v>399573.01451750641</v>
      </c>
      <c r="H262" s="1">
        <f t="shared" si="44"/>
        <v>159829.20580700255</v>
      </c>
      <c r="I262" s="1">
        <f t="shared" si="45"/>
        <v>79914.602903501276</v>
      </c>
      <c r="J262" s="1">
        <f t="shared" si="46"/>
        <v>53276.40193566752</v>
      </c>
      <c r="K262" s="1">
        <f t="shared" si="47"/>
        <v>26638.20096783376</v>
      </c>
      <c r="L262" s="1">
        <f t="shared" si="48"/>
        <v>7991.4602903501282</v>
      </c>
      <c r="M262" s="4">
        <f t="shared" si="41"/>
        <v>702000000</v>
      </c>
      <c r="N262" s="4"/>
      <c r="O262" s="8"/>
      <c r="P262">
        <v>261</v>
      </c>
      <c r="Q262" s="1">
        <v>45591000000000</v>
      </c>
      <c r="R262" s="4">
        <v>702000000</v>
      </c>
      <c r="S262">
        <f>ROUND(1.02^A262,2)</f>
        <v>175.65</v>
      </c>
      <c r="T262" t="str">
        <f t="shared" si="40"/>
        <v>261,45591000000000,702000000,175,65</v>
      </c>
    </row>
    <row r="263" spans="1:20" x14ac:dyDescent="0.25">
      <c r="A263">
        <f t="shared" si="49"/>
        <v>262</v>
      </c>
      <c r="B263" s="1">
        <v>46994700000000</v>
      </c>
      <c r="C263" s="1">
        <v>1403700000000</v>
      </c>
      <c r="E263" s="1">
        <f>+S263*10000</f>
        <v>1791600</v>
      </c>
      <c r="F263" s="1">
        <f t="shared" si="42"/>
        <v>795601.69680732302</v>
      </c>
      <c r="G263" s="1">
        <f t="shared" si="43"/>
        <v>397800.84840366151</v>
      </c>
      <c r="H263" s="1">
        <f t="shared" si="44"/>
        <v>159120.3393614646</v>
      </c>
      <c r="I263" s="1">
        <f t="shared" si="45"/>
        <v>79560.169680732302</v>
      </c>
      <c r="J263" s="1">
        <f t="shared" si="46"/>
        <v>53040.113120488204</v>
      </c>
      <c r="K263" s="1">
        <f t="shared" si="47"/>
        <v>26520.056560244102</v>
      </c>
      <c r="L263" s="1">
        <f t="shared" si="48"/>
        <v>7956.0169680732306</v>
      </c>
      <c r="M263" s="4">
        <f t="shared" si="41"/>
        <v>713000000</v>
      </c>
      <c r="N263" s="4"/>
      <c r="O263" s="8"/>
      <c r="P263">
        <v>262</v>
      </c>
      <c r="Q263" s="1">
        <v>46994700000000</v>
      </c>
      <c r="R263" s="4">
        <v>713000000</v>
      </c>
      <c r="S263">
        <f>ROUND(1.02^A263,2)</f>
        <v>179.16</v>
      </c>
      <c r="T263" t="str">
        <f t="shared" si="40"/>
        <v>262,46994700000000,713000000,179,16</v>
      </c>
    </row>
    <row r="264" spans="1:20" x14ac:dyDescent="0.25">
      <c r="A264">
        <f t="shared" si="49"/>
        <v>263</v>
      </c>
      <c r="B264" s="1">
        <v>48420100000000</v>
      </c>
      <c r="C264" s="1">
        <v>1425400000000</v>
      </c>
      <c r="E264" s="1">
        <f>+S264*10000</f>
        <v>1827400</v>
      </c>
      <c r="F264" s="1">
        <f t="shared" si="42"/>
        <v>791890.11710627121</v>
      </c>
      <c r="G264" s="1">
        <f t="shared" si="43"/>
        <v>395945.0585531356</v>
      </c>
      <c r="H264" s="1">
        <f t="shared" si="44"/>
        <v>158378.02342125424</v>
      </c>
      <c r="I264" s="1">
        <f t="shared" si="45"/>
        <v>79189.011710627121</v>
      </c>
      <c r="J264" s="1">
        <f t="shared" si="46"/>
        <v>52792.674473751416</v>
      </c>
      <c r="K264" s="1">
        <f t="shared" si="47"/>
        <v>26396.337236875708</v>
      </c>
      <c r="L264" s="1">
        <f t="shared" si="48"/>
        <v>7918.9011710627119</v>
      </c>
      <c r="M264" s="4">
        <f t="shared" si="41"/>
        <v>724000000</v>
      </c>
      <c r="N264" s="4"/>
      <c r="O264" s="8"/>
      <c r="P264">
        <v>263</v>
      </c>
      <c r="Q264" s="1">
        <v>48420100000000</v>
      </c>
      <c r="R264" s="4">
        <v>724000000</v>
      </c>
      <c r="S264">
        <f>ROUND(1.02^A264,2)</f>
        <v>182.74</v>
      </c>
      <c r="T264" t="str">
        <f t="shared" si="40"/>
        <v>263,48420100000000,724000000,182,74</v>
      </c>
    </row>
    <row r="265" spans="1:20" x14ac:dyDescent="0.25">
      <c r="A265">
        <f t="shared" si="49"/>
        <v>264</v>
      </c>
      <c r="B265" s="1">
        <v>49867200000000</v>
      </c>
      <c r="C265" s="1">
        <v>1447100000000</v>
      </c>
      <c r="E265" s="1">
        <f>+S265*10000</f>
        <v>1864000</v>
      </c>
      <c r="F265" s="1">
        <f t="shared" si="42"/>
        <v>787982.83261802571</v>
      </c>
      <c r="G265" s="1">
        <f t="shared" si="43"/>
        <v>393991.41630901286</v>
      </c>
      <c r="H265" s="1">
        <f t="shared" si="44"/>
        <v>157596.56652360514</v>
      </c>
      <c r="I265" s="1">
        <f t="shared" si="45"/>
        <v>78798.283261802571</v>
      </c>
      <c r="J265" s="1">
        <f t="shared" si="46"/>
        <v>52532.188841201714</v>
      </c>
      <c r="K265" s="1">
        <f t="shared" si="47"/>
        <v>26266.094420600857</v>
      </c>
      <c r="L265" s="1">
        <f t="shared" si="48"/>
        <v>7879.8283261802571</v>
      </c>
      <c r="M265" s="4">
        <f t="shared" si="41"/>
        <v>734000000</v>
      </c>
      <c r="N265" s="4"/>
      <c r="O265" s="8"/>
      <c r="P265">
        <v>264</v>
      </c>
      <c r="Q265" s="1">
        <v>49867200000000</v>
      </c>
      <c r="R265" s="4">
        <v>734000000</v>
      </c>
      <c r="S265">
        <f>ROUND(1.02^A265,2)</f>
        <v>186.4</v>
      </c>
      <c r="T265" t="str">
        <f t="shared" si="40"/>
        <v>264,49867200000000,734000000,186,4</v>
      </c>
    </row>
    <row r="266" spans="1:20" x14ac:dyDescent="0.25">
      <c r="A266">
        <f t="shared" si="49"/>
        <v>265</v>
      </c>
      <c r="B266" s="1">
        <v>51336000000000</v>
      </c>
      <c r="C266" s="1">
        <v>1468800000000</v>
      </c>
      <c r="E266" s="1">
        <f>+S266*10000</f>
        <v>1901300</v>
      </c>
      <c r="F266" s="1">
        <f t="shared" si="42"/>
        <v>783937.30605375266</v>
      </c>
      <c r="G266" s="1">
        <f t="shared" si="43"/>
        <v>391968.65302687633</v>
      </c>
      <c r="H266" s="1">
        <f t="shared" si="44"/>
        <v>156787.46121075054</v>
      </c>
      <c r="I266" s="1">
        <f t="shared" si="45"/>
        <v>78393.730605375269</v>
      </c>
      <c r="J266" s="1">
        <f t="shared" si="46"/>
        <v>52262.487070250179</v>
      </c>
      <c r="K266" s="1">
        <f t="shared" si="47"/>
        <v>26131.24353512509</v>
      </c>
      <c r="L266" s="1">
        <f t="shared" si="48"/>
        <v>7839.3730605375267</v>
      </c>
      <c r="M266" s="4">
        <f t="shared" si="41"/>
        <v>745000000</v>
      </c>
      <c r="N266" s="4"/>
      <c r="O266" s="8"/>
      <c r="P266">
        <v>265</v>
      </c>
      <c r="Q266" s="1">
        <v>51336000000000</v>
      </c>
      <c r="R266" s="4">
        <v>745000000</v>
      </c>
      <c r="S266">
        <f>ROUND(1.02^A266,2)</f>
        <v>190.13</v>
      </c>
      <c r="T266" t="str">
        <f t="shared" si="40"/>
        <v>265,51336000000000,745000000,190,13</v>
      </c>
    </row>
    <row r="267" spans="1:20" x14ac:dyDescent="0.25">
      <c r="A267">
        <f t="shared" si="49"/>
        <v>266</v>
      </c>
      <c r="B267" s="1">
        <v>52826500000000</v>
      </c>
      <c r="C267" s="1">
        <v>1490500000000</v>
      </c>
      <c r="E267" s="1">
        <f>+S267*10000</f>
        <v>1939300</v>
      </c>
      <c r="F267" s="1">
        <f t="shared" si="42"/>
        <v>779765.89491053473</v>
      </c>
      <c r="G267" s="1">
        <f t="shared" si="43"/>
        <v>389882.94745526736</v>
      </c>
      <c r="H267" s="1">
        <f t="shared" si="44"/>
        <v>155953.17898210694</v>
      </c>
      <c r="I267" s="1">
        <f t="shared" si="45"/>
        <v>77976.58949105347</v>
      </c>
      <c r="J267" s="1">
        <f t="shared" si="46"/>
        <v>51984.392994035647</v>
      </c>
      <c r="K267" s="1">
        <f t="shared" si="47"/>
        <v>25992.196497017823</v>
      </c>
      <c r="L267" s="1">
        <f t="shared" si="48"/>
        <v>7797.6589491053473</v>
      </c>
      <c r="M267" s="4">
        <f t="shared" si="41"/>
        <v>756000000</v>
      </c>
      <c r="N267" s="4"/>
      <c r="O267" s="8"/>
      <c r="P267">
        <v>266</v>
      </c>
      <c r="Q267" s="1">
        <v>52826500000000</v>
      </c>
      <c r="R267" s="4">
        <v>756000000</v>
      </c>
      <c r="S267">
        <f>ROUND(1.02^A267,2)</f>
        <v>193.93</v>
      </c>
      <c r="T267" t="str">
        <f t="shared" si="40"/>
        <v>266,52826500000000,756000000,193,93</v>
      </c>
    </row>
    <row r="268" spans="1:20" x14ac:dyDescent="0.25">
      <c r="A268">
        <f t="shared" si="49"/>
        <v>267</v>
      </c>
      <c r="B268" s="1">
        <v>54338700000000</v>
      </c>
      <c r="C268" s="1">
        <v>1512200000000</v>
      </c>
      <c r="E268" s="1">
        <f>+S268*10000</f>
        <v>1978100</v>
      </c>
      <c r="F268" s="1">
        <f t="shared" si="42"/>
        <v>775441.07982407359</v>
      </c>
      <c r="G268" s="1">
        <f t="shared" si="43"/>
        <v>387720.53991203679</v>
      </c>
      <c r="H268" s="1">
        <f t="shared" si="44"/>
        <v>155088.21596481474</v>
      </c>
      <c r="I268" s="1">
        <f t="shared" si="45"/>
        <v>77544.107982407368</v>
      </c>
      <c r="J268" s="1">
        <f t="shared" si="46"/>
        <v>51696.071988271571</v>
      </c>
      <c r="K268" s="1">
        <f t="shared" si="47"/>
        <v>25848.035994135786</v>
      </c>
      <c r="L268" s="1">
        <f t="shared" si="48"/>
        <v>7754.4107982407359</v>
      </c>
      <c r="M268" s="4">
        <f t="shared" si="41"/>
        <v>767000000</v>
      </c>
      <c r="N268" s="4"/>
      <c r="O268" s="8"/>
      <c r="P268">
        <v>267</v>
      </c>
      <c r="Q268" s="1">
        <v>54338700000000</v>
      </c>
      <c r="R268" s="4">
        <v>767000000</v>
      </c>
      <c r="S268">
        <f>ROUND(1.02^A268,2)</f>
        <v>197.81</v>
      </c>
      <c r="T268" t="str">
        <f t="shared" si="40"/>
        <v>267,54338700000000,767000000,197,81</v>
      </c>
    </row>
    <row r="269" spans="1:20" x14ac:dyDescent="0.25">
      <c r="A269">
        <f t="shared" si="49"/>
        <v>268</v>
      </c>
      <c r="B269" s="1">
        <v>55872600000000</v>
      </c>
      <c r="C269" s="1">
        <v>1533900000000</v>
      </c>
      <c r="E269" s="1">
        <f>+S269*10000</f>
        <v>2017700</v>
      </c>
      <c r="F269" s="1">
        <f t="shared" si="42"/>
        <v>770976.85483471281</v>
      </c>
      <c r="G269" s="1">
        <f t="shared" si="43"/>
        <v>385488.4274173564</v>
      </c>
      <c r="H269" s="1">
        <f t="shared" si="44"/>
        <v>154195.37096694254</v>
      </c>
      <c r="I269" s="1">
        <f t="shared" si="45"/>
        <v>77097.685483471272</v>
      </c>
      <c r="J269" s="1">
        <f t="shared" si="46"/>
        <v>51398.456988980855</v>
      </c>
      <c r="K269" s="1">
        <f t="shared" si="47"/>
        <v>25699.228494490428</v>
      </c>
      <c r="L269" s="1">
        <f t="shared" si="48"/>
        <v>7709.7685483471278</v>
      </c>
      <c r="M269" s="4">
        <f t="shared" si="41"/>
        <v>778000000</v>
      </c>
      <c r="N269" s="4"/>
      <c r="O269" s="8"/>
      <c r="P269">
        <v>268</v>
      </c>
      <c r="Q269" s="1">
        <v>55872600000000</v>
      </c>
      <c r="R269" s="4">
        <v>778000000</v>
      </c>
      <c r="S269">
        <f>ROUND(1.02^A269,2)</f>
        <v>201.77</v>
      </c>
      <c r="T269" t="str">
        <f t="shared" si="40"/>
        <v>268,55872600000000,778000000,201,77</v>
      </c>
    </row>
    <row r="270" spans="1:20" x14ac:dyDescent="0.25">
      <c r="A270">
        <f t="shared" si="49"/>
        <v>269</v>
      </c>
      <c r="B270" s="1">
        <v>57428200000000</v>
      </c>
      <c r="C270" s="1">
        <v>1555600000000</v>
      </c>
      <c r="E270" s="1">
        <f>+S270*10000</f>
        <v>2058000</v>
      </c>
      <c r="F270" s="1">
        <f t="shared" si="42"/>
        <v>766423.71234207973</v>
      </c>
      <c r="G270" s="1">
        <f t="shared" si="43"/>
        <v>383211.85617103986</v>
      </c>
      <c r="H270" s="1">
        <f t="shared" si="44"/>
        <v>153284.74246841593</v>
      </c>
      <c r="I270" s="1">
        <f t="shared" si="45"/>
        <v>76642.371234207967</v>
      </c>
      <c r="J270" s="1">
        <f t="shared" si="46"/>
        <v>51094.91415613865</v>
      </c>
      <c r="K270" s="1">
        <f t="shared" si="47"/>
        <v>25547.457078069325</v>
      </c>
      <c r="L270" s="1">
        <f t="shared" si="48"/>
        <v>7664.2371234207967</v>
      </c>
      <c r="M270" s="4">
        <f t="shared" si="41"/>
        <v>789000000</v>
      </c>
      <c r="N270" s="4"/>
      <c r="O270" s="8"/>
      <c r="P270">
        <v>269</v>
      </c>
      <c r="Q270" s="1">
        <v>57428200000000</v>
      </c>
      <c r="R270" s="4">
        <v>789000000</v>
      </c>
      <c r="S270">
        <f>ROUND(1.02^A270,2)</f>
        <v>205.8</v>
      </c>
      <c r="T270" t="str">
        <f t="shared" si="40"/>
        <v>269,57428200000000,789000000,205,8</v>
      </c>
    </row>
    <row r="271" spans="1:20" x14ac:dyDescent="0.25">
      <c r="A271">
        <f t="shared" si="49"/>
        <v>270</v>
      </c>
      <c r="B271" s="1">
        <v>59005500000000</v>
      </c>
      <c r="C271" s="1">
        <v>1577300000000</v>
      </c>
      <c r="E271" s="1">
        <f>+S271*10000</f>
        <v>2099200</v>
      </c>
      <c r="F271" s="1">
        <f t="shared" si="42"/>
        <v>761718.75</v>
      </c>
      <c r="G271" s="1">
        <f t="shared" si="43"/>
        <v>380859.375</v>
      </c>
      <c r="H271" s="1">
        <f t="shared" si="44"/>
        <v>152343.75</v>
      </c>
      <c r="I271" s="1">
        <f t="shared" si="45"/>
        <v>76171.875</v>
      </c>
      <c r="J271" s="1">
        <f t="shared" si="46"/>
        <v>50781.25</v>
      </c>
      <c r="K271" s="1">
        <f t="shared" si="47"/>
        <v>25390.625</v>
      </c>
      <c r="L271" s="1">
        <f t="shared" si="48"/>
        <v>7617.1875</v>
      </c>
      <c r="M271" s="4">
        <f t="shared" si="41"/>
        <v>800000000</v>
      </c>
      <c r="N271" s="4"/>
      <c r="O271" s="8"/>
      <c r="P271">
        <v>270</v>
      </c>
      <c r="Q271" s="1">
        <v>59005500000000</v>
      </c>
      <c r="R271" s="4">
        <v>800000000</v>
      </c>
      <c r="S271">
        <f>ROUND(1.02^A271,2)</f>
        <v>209.92</v>
      </c>
      <c r="T271" t="str">
        <f t="shared" si="40"/>
        <v>270,59005500000000,800000000,209,92</v>
      </c>
    </row>
    <row r="272" spans="1:20" x14ac:dyDescent="0.25">
      <c r="A272">
        <f t="shared" si="49"/>
        <v>271</v>
      </c>
      <c r="B272" s="1">
        <v>60604500000000</v>
      </c>
      <c r="C272" s="1">
        <v>1599000000000</v>
      </c>
      <c r="E272" s="1">
        <f>+S272*10000</f>
        <v>2141100</v>
      </c>
      <c r="F272" s="1">
        <f t="shared" si="42"/>
        <v>756947.36350474053</v>
      </c>
      <c r="G272" s="1">
        <f t="shared" si="43"/>
        <v>378473.68175237026</v>
      </c>
      <c r="H272" s="1">
        <f t="shared" si="44"/>
        <v>151389.4727009481</v>
      </c>
      <c r="I272" s="1">
        <f t="shared" si="45"/>
        <v>75694.73635047405</v>
      </c>
      <c r="J272" s="1">
        <f t="shared" si="46"/>
        <v>50463.157566982707</v>
      </c>
      <c r="K272" s="1">
        <f t="shared" si="47"/>
        <v>25231.578783491354</v>
      </c>
      <c r="L272" s="1">
        <f t="shared" si="48"/>
        <v>7569.4736350474059</v>
      </c>
      <c r="M272" s="4">
        <f t="shared" si="41"/>
        <v>810000000</v>
      </c>
      <c r="N272" s="4"/>
      <c r="O272" s="8"/>
      <c r="P272">
        <v>271</v>
      </c>
      <c r="Q272" s="1">
        <v>60604500000000</v>
      </c>
      <c r="R272" s="4">
        <v>810000000</v>
      </c>
      <c r="S272">
        <f>ROUND(1.02^A272,2)</f>
        <v>214.11</v>
      </c>
      <c r="T272" t="str">
        <f t="shared" si="40"/>
        <v>271,60604500000000,810000000,214,11</v>
      </c>
    </row>
    <row r="273" spans="1:20" x14ac:dyDescent="0.25">
      <c r="A273">
        <f t="shared" si="49"/>
        <v>272</v>
      </c>
      <c r="B273" s="1">
        <v>62225200000000</v>
      </c>
      <c r="C273" s="1">
        <v>1620700000000</v>
      </c>
      <c r="E273" s="1">
        <f>+S273*10000</f>
        <v>2184000</v>
      </c>
      <c r="F273" s="1">
        <f t="shared" si="42"/>
        <v>752014.65201465203</v>
      </c>
      <c r="G273" s="1">
        <f t="shared" si="43"/>
        <v>376007.32600732602</v>
      </c>
      <c r="H273" s="1">
        <f t="shared" si="44"/>
        <v>150402.93040293039</v>
      </c>
      <c r="I273" s="1">
        <f t="shared" si="45"/>
        <v>75201.465201465195</v>
      </c>
      <c r="J273" s="1">
        <f t="shared" si="46"/>
        <v>50134.310134310137</v>
      </c>
      <c r="K273" s="1">
        <f t="shared" si="47"/>
        <v>25067.155067155069</v>
      </c>
      <c r="L273" s="1">
        <f t="shared" si="48"/>
        <v>7520.1465201465198</v>
      </c>
      <c r="M273" s="4">
        <f t="shared" si="41"/>
        <v>821000000</v>
      </c>
      <c r="N273" s="4"/>
      <c r="O273" s="8"/>
      <c r="P273">
        <v>272</v>
      </c>
      <c r="Q273" s="1">
        <v>62225200000000</v>
      </c>
      <c r="R273" s="4">
        <v>821000000</v>
      </c>
      <c r="S273">
        <f>ROUND(1.02^A273,2)</f>
        <v>218.4</v>
      </c>
      <c r="T273" t="str">
        <f t="shared" si="40"/>
        <v>272,62225200000000,821000000,218,4</v>
      </c>
    </row>
    <row r="274" spans="1:20" x14ac:dyDescent="0.25">
      <c r="A274">
        <f t="shared" si="49"/>
        <v>273</v>
      </c>
      <c r="B274" s="1">
        <v>63867600000000</v>
      </c>
      <c r="C274" s="1">
        <v>1642400000000</v>
      </c>
      <c r="E274" s="1">
        <f>+S274*10000</f>
        <v>2227600</v>
      </c>
      <c r="F274" s="1">
        <f t="shared" si="42"/>
        <v>747037.17004848272</v>
      </c>
      <c r="G274" s="1">
        <f t="shared" si="43"/>
        <v>373518.58502424136</v>
      </c>
      <c r="H274" s="1">
        <f t="shared" si="44"/>
        <v>149407.43400969653</v>
      </c>
      <c r="I274" s="1">
        <f t="shared" si="45"/>
        <v>74703.717004848266</v>
      </c>
      <c r="J274" s="1">
        <f t="shared" si="46"/>
        <v>49802.47800323218</v>
      </c>
      <c r="K274" s="1">
        <f t="shared" si="47"/>
        <v>24901.23900161609</v>
      </c>
      <c r="L274" s="1">
        <f t="shared" si="48"/>
        <v>7470.3717004848268</v>
      </c>
      <c r="M274" s="4">
        <f t="shared" si="41"/>
        <v>832000000</v>
      </c>
      <c r="N274" s="4"/>
      <c r="O274" s="8"/>
      <c r="P274">
        <v>273</v>
      </c>
      <c r="Q274" s="1">
        <v>63867600000000</v>
      </c>
      <c r="R274" s="4">
        <v>832000000</v>
      </c>
      <c r="S274">
        <f>ROUND(1.02^A274,2)</f>
        <v>222.76</v>
      </c>
      <c r="T274" t="str">
        <f t="shared" si="40"/>
        <v>273,63867600000000,832000000,222,76</v>
      </c>
    </row>
    <row r="275" spans="1:20" x14ac:dyDescent="0.25">
      <c r="A275">
        <f t="shared" si="49"/>
        <v>274</v>
      </c>
      <c r="B275" s="1">
        <v>65531700000000</v>
      </c>
      <c r="C275" s="1">
        <v>1664100000000</v>
      </c>
      <c r="E275" s="1">
        <f>+S275*10000</f>
        <v>2272200</v>
      </c>
      <c r="F275" s="1">
        <f t="shared" si="42"/>
        <v>741924.12639732414</v>
      </c>
      <c r="G275" s="1">
        <f t="shared" si="43"/>
        <v>370962.06319866207</v>
      </c>
      <c r="H275" s="1">
        <f t="shared" si="44"/>
        <v>148384.82527946483</v>
      </c>
      <c r="I275" s="1">
        <f t="shared" si="45"/>
        <v>74192.412639732414</v>
      </c>
      <c r="J275" s="1">
        <f t="shared" si="46"/>
        <v>49461.608426488281</v>
      </c>
      <c r="K275" s="1">
        <f t="shared" si="47"/>
        <v>24730.804213244141</v>
      </c>
      <c r="L275" s="1">
        <f t="shared" si="48"/>
        <v>7419.241263973242</v>
      </c>
      <c r="M275" s="4">
        <f t="shared" si="41"/>
        <v>843000000</v>
      </c>
      <c r="N275" s="4"/>
      <c r="O275" s="8"/>
      <c r="P275">
        <v>274</v>
      </c>
      <c r="Q275" s="1">
        <v>65531700000000</v>
      </c>
      <c r="R275" s="4">
        <v>843000000</v>
      </c>
      <c r="S275">
        <f>ROUND(1.02^A275,2)</f>
        <v>227.22</v>
      </c>
      <c r="T275" t="str">
        <f t="shared" si="40"/>
        <v>274,65531700000000,843000000,227,22</v>
      </c>
    </row>
    <row r="276" spans="1:20" x14ac:dyDescent="0.25">
      <c r="A276">
        <f t="shared" si="49"/>
        <v>275</v>
      </c>
      <c r="B276" s="1">
        <v>67217500000000</v>
      </c>
      <c r="C276" s="1">
        <v>1685800000000</v>
      </c>
      <c r="E276" s="1">
        <f>+S276*10000</f>
        <v>2317600</v>
      </c>
      <c r="F276" s="1">
        <f t="shared" si="42"/>
        <v>736753.5381429065</v>
      </c>
      <c r="G276" s="1">
        <f t="shared" si="43"/>
        <v>368376.76907145325</v>
      </c>
      <c r="H276" s="1">
        <f t="shared" si="44"/>
        <v>147350.70762858129</v>
      </c>
      <c r="I276" s="1">
        <f t="shared" si="45"/>
        <v>73675.353814290647</v>
      </c>
      <c r="J276" s="1">
        <f t="shared" si="46"/>
        <v>49116.902542860429</v>
      </c>
      <c r="K276" s="1">
        <f t="shared" si="47"/>
        <v>24558.451271430215</v>
      </c>
      <c r="L276" s="1">
        <f t="shared" si="48"/>
        <v>7367.5353814290647</v>
      </c>
      <c r="M276" s="4">
        <f t="shared" si="41"/>
        <v>854000000</v>
      </c>
      <c r="N276" s="4"/>
      <c r="O276" s="8"/>
      <c r="P276">
        <v>275</v>
      </c>
      <c r="Q276" s="1">
        <v>67217500000000</v>
      </c>
      <c r="R276" s="4">
        <v>854000000</v>
      </c>
      <c r="S276">
        <f>ROUND(1.02^A276,2)</f>
        <v>231.76</v>
      </c>
      <c r="T276" t="str">
        <f t="shared" si="40"/>
        <v>275,67217500000000,854000000,231,76</v>
      </c>
    </row>
    <row r="277" spans="1:20" x14ac:dyDescent="0.25">
      <c r="A277">
        <f t="shared" si="49"/>
        <v>276</v>
      </c>
      <c r="B277" s="1">
        <v>68925000000000</v>
      </c>
      <c r="C277" s="1">
        <v>1707500000000</v>
      </c>
      <c r="E277" s="1">
        <f>+S277*10000</f>
        <v>2364000</v>
      </c>
      <c r="F277" s="1">
        <f t="shared" si="42"/>
        <v>731472.08121827408</v>
      </c>
      <c r="G277" s="1">
        <f t="shared" si="43"/>
        <v>365736.04060913704</v>
      </c>
      <c r="H277" s="1">
        <f t="shared" si="44"/>
        <v>146294.41624365482</v>
      </c>
      <c r="I277" s="1">
        <f t="shared" si="45"/>
        <v>73147.208121827411</v>
      </c>
      <c r="J277" s="1">
        <f t="shared" si="46"/>
        <v>48764.805414551607</v>
      </c>
      <c r="K277" s="1">
        <f t="shared" si="47"/>
        <v>24382.402707275804</v>
      </c>
      <c r="L277" s="1">
        <f t="shared" si="48"/>
        <v>7314.7208121827407</v>
      </c>
      <c r="M277" s="4">
        <f t="shared" si="41"/>
        <v>865000000</v>
      </c>
      <c r="N277" s="4"/>
      <c r="O277" s="8"/>
      <c r="P277">
        <v>276</v>
      </c>
      <c r="Q277" s="1">
        <v>68925000000000</v>
      </c>
      <c r="R277" s="4">
        <v>865000000</v>
      </c>
      <c r="S277">
        <f>ROUND(1.02^A277,2)</f>
        <v>236.4</v>
      </c>
      <c r="T277" t="str">
        <f t="shared" si="40"/>
        <v>276,68925000000000,865000000,236,4</v>
      </c>
    </row>
    <row r="278" spans="1:20" x14ac:dyDescent="0.25">
      <c r="A278">
        <f t="shared" si="49"/>
        <v>277</v>
      </c>
      <c r="B278" s="1">
        <v>70654200000000</v>
      </c>
      <c r="C278" s="1">
        <v>1729200000000</v>
      </c>
      <c r="E278" s="1">
        <f>+S278*10000</f>
        <v>2411300</v>
      </c>
      <c r="F278" s="1">
        <f t="shared" si="42"/>
        <v>726122.83830299007</v>
      </c>
      <c r="G278" s="1">
        <f t="shared" si="43"/>
        <v>363061.41915149504</v>
      </c>
      <c r="H278" s="1">
        <f t="shared" si="44"/>
        <v>145224.56766059803</v>
      </c>
      <c r="I278" s="1">
        <f t="shared" si="45"/>
        <v>72612.283830299013</v>
      </c>
      <c r="J278" s="1">
        <f t="shared" si="46"/>
        <v>48408.18922019934</v>
      </c>
      <c r="K278" s="1">
        <f t="shared" si="47"/>
        <v>24204.09461009967</v>
      </c>
      <c r="L278" s="1">
        <f t="shared" si="48"/>
        <v>7261.2283830299011</v>
      </c>
      <c r="M278" s="4">
        <f t="shared" si="41"/>
        <v>875000000</v>
      </c>
      <c r="N278" s="4"/>
      <c r="O278" s="8"/>
      <c r="P278">
        <v>277</v>
      </c>
      <c r="Q278" s="1">
        <v>70654200000000</v>
      </c>
      <c r="R278" s="4">
        <v>875000000</v>
      </c>
      <c r="S278">
        <f>ROUND(1.02^A278,2)</f>
        <v>241.13</v>
      </c>
      <c r="T278" t="str">
        <f t="shared" si="40"/>
        <v>277,70654200000000,875000000,241,13</v>
      </c>
    </row>
    <row r="279" spans="1:20" x14ac:dyDescent="0.25">
      <c r="A279">
        <f t="shared" si="49"/>
        <v>278</v>
      </c>
      <c r="B279" s="1">
        <v>72405100000000</v>
      </c>
      <c r="C279" s="1">
        <v>1750900000000</v>
      </c>
      <c r="E279" s="1">
        <f>+S279*10000</f>
        <v>2459500</v>
      </c>
      <c r="F279" s="1">
        <f t="shared" si="42"/>
        <v>720715.59260012198</v>
      </c>
      <c r="G279" s="1">
        <f t="shared" si="43"/>
        <v>360357.79630006099</v>
      </c>
      <c r="H279" s="1">
        <f t="shared" si="44"/>
        <v>144143.11852002441</v>
      </c>
      <c r="I279" s="1">
        <f t="shared" si="45"/>
        <v>72071.559260012204</v>
      </c>
      <c r="J279" s="1">
        <f t="shared" si="46"/>
        <v>48047.706173341467</v>
      </c>
      <c r="K279" s="1">
        <f t="shared" si="47"/>
        <v>24023.853086670733</v>
      </c>
      <c r="L279" s="1">
        <f t="shared" si="48"/>
        <v>7207.15592600122</v>
      </c>
      <c r="M279" s="4">
        <f t="shared" si="41"/>
        <v>886000000</v>
      </c>
      <c r="N279" s="4"/>
      <c r="O279" s="8"/>
      <c r="P279">
        <v>278</v>
      </c>
      <c r="Q279" s="1">
        <v>72405100000000</v>
      </c>
      <c r="R279" s="4">
        <v>886000000</v>
      </c>
      <c r="S279">
        <f>ROUND(1.02^A279,2)</f>
        <v>245.95</v>
      </c>
      <c r="T279" t="str">
        <f t="shared" si="40"/>
        <v>278,72405100000000,886000000,245,95</v>
      </c>
    </row>
    <row r="280" spans="1:20" x14ac:dyDescent="0.25">
      <c r="A280">
        <f t="shared" si="49"/>
        <v>279</v>
      </c>
      <c r="B280" s="1">
        <v>74177700000000</v>
      </c>
      <c r="C280" s="1">
        <v>1772600000000</v>
      </c>
      <c r="E280" s="1">
        <f>+S280*10000</f>
        <v>2508700</v>
      </c>
      <c r="F280" s="1">
        <f t="shared" si="42"/>
        <v>715230.99613345554</v>
      </c>
      <c r="G280" s="1">
        <f t="shared" si="43"/>
        <v>357615.49806672777</v>
      </c>
      <c r="H280" s="1">
        <f t="shared" si="44"/>
        <v>143046.19922669113</v>
      </c>
      <c r="I280" s="1">
        <f t="shared" si="45"/>
        <v>71523.099613345563</v>
      </c>
      <c r="J280" s="1">
        <f t="shared" si="46"/>
        <v>47682.066408897037</v>
      </c>
      <c r="K280" s="1">
        <f t="shared" si="47"/>
        <v>23841.033204448519</v>
      </c>
      <c r="L280" s="1">
        <f t="shared" si="48"/>
        <v>7152.3099613345557</v>
      </c>
      <c r="M280" s="4">
        <f t="shared" si="41"/>
        <v>897000000</v>
      </c>
      <c r="N280" s="4"/>
      <c r="O280" s="8"/>
      <c r="P280">
        <v>279</v>
      </c>
      <c r="Q280" s="1">
        <v>74177700000000</v>
      </c>
      <c r="R280" s="4">
        <v>897000000</v>
      </c>
      <c r="S280">
        <f>ROUND(1.02^A280,2)</f>
        <v>250.87</v>
      </c>
      <c r="T280" t="str">
        <f t="shared" si="40"/>
        <v>279,74177700000000,897000000,250,87</v>
      </c>
    </row>
    <row r="281" spans="1:20" x14ac:dyDescent="0.25">
      <c r="A281">
        <f t="shared" si="49"/>
        <v>280</v>
      </c>
      <c r="B281" s="1">
        <v>75972000000000</v>
      </c>
      <c r="C281" s="1">
        <v>1794300000000</v>
      </c>
      <c r="E281" s="1">
        <f>+S281*10000</f>
        <v>2558900</v>
      </c>
      <c r="F281" s="1">
        <f t="shared" si="42"/>
        <v>709679.94059947634</v>
      </c>
      <c r="G281" s="1">
        <f t="shared" si="43"/>
        <v>354839.97029973817</v>
      </c>
      <c r="H281" s="1">
        <f t="shared" si="44"/>
        <v>141935.98811989528</v>
      </c>
      <c r="I281" s="1">
        <f t="shared" si="45"/>
        <v>70967.994059947639</v>
      </c>
      <c r="J281" s="1">
        <f t="shared" si="46"/>
        <v>47311.996039965088</v>
      </c>
      <c r="K281" s="1">
        <f t="shared" si="47"/>
        <v>23655.998019982544</v>
      </c>
      <c r="L281" s="1">
        <f t="shared" si="48"/>
        <v>7096.7994059947632</v>
      </c>
      <c r="M281" s="4">
        <f t="shared" si="41"/>
        <v>908000000</v>
      </c>
      <c r="N281" s="4"/>
      <c r="O281" s="8"/>
      <c r="P281">
        <v>280</v>
      </c>
      <c r="Q281" s="1">
        <v>75972000000000</v>
      </c>
      <c r="R281" s="4">
        <v>908000000</v>
      </c>
      <c r="S281">
        <f>ROUND(1.02^A281,2)</f>
        <v>255.89</v>
      </c>
      <c r="T281" t="str">
        <f t="shared" si="40"/>
        <v>280,75972000000000,908000000,255,89</v>
      </c>
    </row>
    <row r="282" spans="1:20" x14ac:dyDescent="0.25">
      <c r="A282">
        <f t="shared" si="49"/>
        <v>281</v>
      </c>
      <c r="B282" s="1">
        <v>77788000000000</v>
      </c>
      <c r="C282" s="1">
        <v>1816000000000</v>
      </c>
      <c r="E282" s="1">
        <f>+S282*10000</f>
        <v>2610000</v>
      </c>
      <c r="F282" s="1">
        <f t="shared" si="42"/>
        <v>704099.61685823754</v>
      </c>
      <c r="G282" s="1">
        <f t="shared" si="43"/>
        <v>352049.80842911877</v>
      </c>
      <c r="H282" s="1">
        <f t="shared" si="44"/>
        <v>140819.92337164751</v>
      </c>
      <c r="I282" s="1">
        <f t="shared" si="45"/>
        <v>70409.961685823757</v>
      </c>
      <c r="J282" s="1">
        <f t="shared" si="46"/>
        <v>46939.974457215838</v>
      </c>
      <c r="K282" s="1">
        <f t="shared" si="47"/>
        <v>23469.987228607919</v>
      </c>
      <c r="L282" s="1">
        <f t="shared" si="48"/>
        <v>7040.9961685823755</v>
      </c>
      <c r="M282" s="4">
        <f t="shared" si="41"/>
        <v>919000000</v>
      </c>
      <c r="N282" s="4"/>
      <c r="O282" s="8"/>
      <c r="P282">
        <v>281</v>
      </c>
      <c r="Q282" s="1">
        <v>77788000000000</v>
      </c>
      <c r="R282" s="4">
        <v>919000000</v>
      </c>
      <c r="S282">
        <f>ROUND(1.02^A282,2)</f>
        <v>261</v>
      </c>
      <c r="T282" t="str">
        <f t="shared" si="40"/>
        <v>281,77788000000000,919000000,261</v>
      </c>
    </row>
    <row r="283" spans="1:20" x14ac:dyDescent="0.25">
      <c r="A283">
        <f t="shared" si="49"/>
        <v>282</v>
      </c>
      <c r="B283" s="1">
        <v>79625700000000</v>
      </c>
      <c r="C283" s="1">
        <v>1837700000000</v>
      </c>
      <c r="E283" s="1">
        <f>+S283*10000</f>
        <v>2662200.0000000005</v>
      </c>
      <c r="F283" s="1">
        <f t="shared" si="42"/>
        <v>698444.89519945893</v>
      </c>
      <c r="G283" s="1">
        <f t="shared" si="43"/>
        <v>349222.44759972946</v>
      </c>
      <c r="H283" s="1">
        <f t="shared" si="44"/>
        <v>139688.9790398918</v>
      </c>
      <c r="I283" s="1">
        <f t="shared" si="45"/>
        <v>69844.489519945899</v>
      </c>
      <c r="J283" s="1">
        <f t="shared" si="46"/>
        <v>46562.993013297266</v>
      </c>
      <c r="K283" s="1">
        <f t="shared" si="47"/>
        <v>23281.496506648633</v>
      </c>
      <c r="L283" s="1">
        <f t="shared" si="48"/>
        <v>6984.4489519945892</v>
      </c>
      <c r="M283" s="4">
        <f t="shared" si="41"/>
        <v>930000000</v>
      </c>
      <c r="N283" s="4"/>
      <c r="O283" s="8"/>
      <c r="P283">
        <v>282</v>
      </c>
      <c r="Q283" s="1">
        <v>79625700000000</v>
      </c>
      <c r="R283" s="4">
        <v>930000000</v>
      </c>
      <c r="S283">
        <f>ROUND(1.02^A283,2)</f>
        <v>266.22000000000003</v>
      </c>
      <c r="T283" t="str">
        <f t="shared" si="40"/>
        <v>282,79625700000000,930000000,266,22</v>
      </c>
    </row>
    <row r="284" spans="1:20" x14ac:dyDescent="0.25">
      <c r="A284">
        <f t="shared" si="49"/>
        <v>283</v>
      </c>
      <c r="B284" s="1">
        <v>81485100000000</v>
      </c>
      <c r="C284" s="1">
        <v>1859400000000</v>
      </c>
      <c r="E284" s="1">
        <f>+S284*10000</f>
        <v>2715500</v>
      </c>
      <c r="F284" s="1">
        <f t="shared" si="42"/>
        <v>692726.93794881238</v>
      </c>
      <c r="G284" s="1">
        <f t="shared" si="43"/>
        <v>346363.46897440619</v>
      </c>
      <c r="H284" s="1">
        <f t="shared" si="44"/>
        <v>138545.38758976248</v>
      </c>
      <c r="I284" s="1">
        <f t="shared" si="45"/>
        <v>69272.693794881241</v>
      </c>
      <c r="J284" s="1">
        <f t="shared" si="46"/>
        <v>46181.795863254156</v>
      </c>
      <c r="K284" s="1">
        <f t="shared" si="47"/>
        <v>23090.897931627078</v>
      </c>
      <c r="L284" s="1">
        <f t="shared" si="48"/>
        <v>6927.2693794881234</v>
      </c>
      <c r="M284" s="4">
        <f t="shared" si="41"/>
        <v>941000000</v>
      </c>
      <c r="N284" s="4"/>
      <c r="O284" s="8"/>
      <c r="P284">
        <v>283</v>
      </c>
      <c r="Q284" s="1">
        <v>81485100000000</v>
      </c>
      <c r="R284" s="4">
        <v>941000000</v>
      </c>
      <c r="S284">
        <f>ROUND(1.02^A284,2)</f>
        <v>271.55</v>
      </c>
      <c r="T284" t="str">
        <f t="shared" si="40"/>
        <v>283,81485100000000,941000000,271,55</v>
      </c>
    </row>
    <row r="285" spans="1:20" x14ac:dyDescent="0.25">
      <c r="A285">
        <f t="shared" si="49"/>
        <v>284</v>
      </c>
      <c r="B285" s="1">
        <v>83366200000000</v>
      </c>
      <c r="C285" s="1">
        <v>1881100000000</v>
      </c>
      <c r="E285" s="1">
        <f>+S285*10000</f>
        <v>2769800</v>
      </c>
      <c r="F285" s="1">
        <f t="shared" si="42"/>
        <v>686981.00945916667</v>
      </c>
      <c r="G285" s="1">
        <f t="shared" si="43"/>
        <v>343490.50472958334</v>
      </c>
      <c r="H285" s="1">
        <f t="shared" si="44"/>
        <v>137396.20189183333</v>
      </c>
      <c r="I285" s="1">
        <f t="shared" si="45"/>
        <v>68698.100945916667</v>
      </c>
      <c r="J285" s="1">
        <f t="shared" si="46"/>
        <v>45798.733963944447</v>
      </c>
      <c r="K285" s="1">
        <f t="shared" si="47"/>
        <v>22899.366981972224</v>
      </c>
      <c r="L285" s="1">
        <f t="shared" si="48"/>
        <v>6869.8100945916676</v>
      </c>
      <c r="M285" s="4">
        <f t="shared" si="41"/>
        <v>951000000</v>
      </c>
      <c r="N285" s="4"/>
      <c r="O285" s="8"/>
      <c r="P285">
        <v>284</v>
      </c>
      <c r="Q285" s="1">
        <v>83366200000000</v>
      </c>
      <c r="R285" s="4">
        <v>951000000</v>
      </c>
      <c r="S285">
        <f>ROUND(1.02^A285,2)</f>
        <v>276.98</v>
      </c>
      <c r="T285" t="str">
        <f t="shared" si="40"/>
        <v>284,83366200000000,951000000,276,98</v>
      </c>
    </row>
    <row r="286" spans="1:20" x14ac:dyDescent="0.25">
      <c r="A286">
        <f t="shared" si="49"/>
        <v>285</v>
      </c>
      <c r="B286" s="1">
        <v>85269000000000</v>
      </c>
      <c r="C286" s="1">
        <v>1902800000000</v>
      </c>
      <c r="E286" s="1">
        <f>+S286*10000</f>
        <v>2825200</v>
      </c>
      <c r="F286" s="1">
        <f t="shared" si="42"/>
        <v>681190.71216197079</v>
      </c>
      <c r="G286" s="1">
        <f t="shared" si="43"/>
        <v>340595.3560809854</v>
      </c>
      <c r="H286" s="1">
        <f t="shared" si="44"/>
        <v>136238.14243239418</v>
      </c>
      <c r="I286" s="1">
        <f t="shared" si="45"/>
        <v>68119.071216197088</v>
      </c>
      <c r="J286" s="1">
        <f t="shared" si="46"/>
        <v>45412.714144131387</v>
      </c>
      <c r="K286" s="1">
        <f t="shared" si="47"/>
        <v>22706.357072065694</v>
      </c>
      <c r="L286" s="1">
        <f t="shared" si="48"/>
        <v>6811.9071216197081</v>
      </c>
      <c r="M286" s="4">
        <f t="shared" si="41"/>
        <v>962000000</v>
      </c>
      <c r="N286" s="4"/>
      <c r="O286" s="8"/>
      <c r="P286">
        <v>285</v>
      </c>
      <c r="Q286" s="1">
        <v>85269000000000</v>
      </c>
      <c r="R286" s="4">
        <v>962000000</v>
      </c>
      <c r="S286">
        <f>ROUND(1.02^A286,2)</f>
        <v>282.52</v>
      </c>
      <c r="T286" t="str">
        <f t="shared" si="40"/>
        <v>285,85269000000000,962000000,282,52</v>
      </c>
    </row>
    <row r="287" spans="1:20" x14ac:dyDescent="0.25">
      <c r="A287">
        <f t="shared" si="49"/>
        <v>286</v>
      </c>
      <c r="B287" s="1">
        <v>87193500000000</v>
      </c>
      <c r="C287" s="1">
        <v>1924500000000</v>
      </c>
      <c r="E287" s="1">
        <f>+S287*10000</f>
        <v>2881700</v>
      </c>
      <c r="F287" s="1">
        <f t="shared" si="42"/>
        <v>675365.23579831352</v>
      </c>
      <c r="G287" s="1">
        <f t="shared" si="43"/>
        <v>337682.61789915676</v>
      </c>
      <c r="H287" s="1">
        <f t="shared" si="44"/>
        <v>135073.0471596627</v>
      </c>
      <c r="I287" s="1">
        <f t="shared" si="45"/>
        <v>67536.523579831352</v>
      </c>
      <c r="J287" s="1">
        <f t="shared" si="46"/>
        <v>45024.349053220896</v>
      </c>
      <c r="K287" s="1">
        <f t="shared" si="47"/>
        <v>22512.174526610448</v>
      </c>
      <c r="L287" s="1">
        <f t="shared" si="48"/>
        <v>6753.6523579831346</v>
      </c>
      <c r="M287" s="4">
        <f t="shared" si="41"/>
        <v>973000000</v>
      </c>
      <c r="N287" s="4"/>
      <c r="O287" s="8"/>
      <c r="P287">
        <v>286</v>
      </c>
      <c r="Q287" s="1">
        <v>87193500000000</v>
      </c>
      <c r="R287" s="4">
        <v>973000000</v>
      </c>
      <c r="S287">
        <f>ROUND(1.02^A287,2)</f>
        <v>288.17</v>
      </c>
      <c r="T287" t="str">
        <f t="shared" si="40"/>
        <v>286,87193500000000,973000000,288,17</v>
      </c>
    </row>
    <row r="288" spans="1:20" x14ac:dyDescent="0.25">
      <c r="A288">
        <f t="shared" si="49"/>
        <v>287</v>
      </c>
      <c r="B288" s="1">
        <v>89139700000000</v>
      </c>
      <c r="C288" s="1">
        <v>1946200000000</v>
      </c>
      <c r="E288" s="1">
        <f>+S288*10000</f>
        <v>2939300</v>
      </c>
      <c r="F288" s="1">
        <f t="shared" si="42"/>
        <v>669513.14938931039</v>
      </c>
      <c r="G288" s="1">
        <f t="shared" si="43"/>
        <v>334756.5746946552</v>
      </c>
      <c r="H288" s="1">
        <f t="shared" si="44"/>
        <v>133902.62987786208</v>
      </c>
      <c r="I288" s="1">
        <f t="shared" si="45"/>
        <v>66951.314938931042</v>
      </c>
      <c r="J288" s="1">
        <f t="shared" si="46"/>
        <v>44634.209959287356</v>
      </c>
      <c r="K288" s="1">
        <f t="shared" si="47"/>
        <v>22317.104979643678</v>
      </c>
      <c r="L288" s="1">
        <f t="shared" si="48"/>
        <v>6695.1314938931037</v>
      </c>
      <c r="M288" s="4">
        <f t="shared" si="41"/>
        <v>984000000</v>
      </c>
      <c r="N288" s="4"/>
      <c r="O288" s="8"/>
      <c r="P288">
        <v>287</v>
      </c>
      <c r="Q288" s="1">
        <v>89139700000000</v>
      </c>
      <c r="R288" s="4">
        <v>984000000</v>
      </c>
      <c r="S288">
        <f>ROUND(1.02^A288,2)</f>
        <v>293.93</v>
      </c>
      <c r="T288" t="str">
        <f t="shared" si="40"/>
        <v>287,89139700000000,984000000,293,93</v>
      </c>
    </row>
    <row r="289" spans="1:20" x14ac:dyDescent="0.25">
      <c r="A289">
        <f t="shared" si="49"/>
        <v>288</v>
      </c>
      <c r="B289" s="1">
        <v>91107600000000</v>
      </c>
      <c r="C289" s="1">
        <v>1967900000000</v>
      </c>
      <c r="E289" s="1">
        <f>+S289*10000</f>
        <v>2998100</v>
      </c>
      <c r="F289" s="1">
        <f t="shared" si="42"/>
        <v>663620.29285213968</v>
      </c>
      <c r="G289" s="1">
        <f t="shared" si="43"/>
        <v>331810.14642606984</v>
      </c>
      <c r="H289" s="1">
        <f t="shared" si="44"/>
        <v>132724.05857042794</v>
      </c>
      <c r="I289" s="1">
        <f t="shared" si="45"/>
        <v>66362.029285213968</v>
      </c>
      <c r="J289" s="1">
        <f t="shared" si="46"/>
        <v>44241.35285680931</v>
      </c>
      <c r="K289" s="1">
        <f t="shared" si="47"/>
        <v>22120.676428404655</v>
      </c>
      <c r="L289" s="1">
        <f t="shared" si="48"/>
        <v>6636.2029285213966</v>
      </c>
      <c r="M289" s="4">
        <f t="shared" si="41"/>
        <v>995000000</v>
      </c>
      <c r="N289" s="4"/>
      <c r="O289" s="8"/>
      <c r="P289">
        <v>288</v>
      </c>
      <c r="Q289" s="1">
        <v>91107600000000</v>
      </c>
      <c r="R289" s="4">
        <v>995000000</v>
      </c>
      <c r="S289">
        <f>ROUND(1.02^A289,2)</f>
        <v>299.81</v>
      </c>
      <c r="T289" t="str">
        <f t="shared" si="40"/>
        <v>288,91107600000000,995000000,299,81</v>
      </c>
    </row>
    <row r="290" spans="1:20" x14ac:dyDescent="0.25">
      <c r="A290">
        <f t="shared" si="49"/>
        <v>289</v>
      </c>
      <c r="B290" s="1">
        <v>93097200000000</v>
      </c>
      <c r="C290" s="1">
        <v>1989600000000</v>
      </c>
      <c r="E290" s="1">
        <f>+S290*10000</f>
        <v>3058100</v>
      </c>
      <c r="F290" s="1">
        <f t="shared" si="42"/>
        <v>657695.95500474155</v>
      </c>
      <c r="G290" s="1">
        <f t="shared" si="43"/>
        <v>328847.97750237078</v>
      </c>
      <c r="H290" s="1">
        <f t="shared" si="44"/>
        <v>131539.19100094831</v>
      </c>
      <c r="I290" s="1">
        <f t="shared" si="45"/>
        <v>65769.595500474155</v>
      </c>
      <c r="J290" s="1">
        <f t="shared" si="46"/>
        <v>43846.397000316101</v>
      </c>
      <c r="K290" s="1">
        <f t="shared" si="47"/>
        <v>21923.198500158051</v>
      </c>
      <c r="L290" s="1">
        <f t="shared" si="48"/>
        <v>6576.9595500474152</v>
      </c>
      <c r="M290" s="4">
        <f t="shared" si="41"/>
        <v>1010000000</v>
      </c>
      <c r="N290" s="4"/>
      <c r="O290" s="8"/>
      <c r="P290">
        <v>289</v>
      </c>
      <c r="Q290" s="1">
        <v>93097200000000</v>
      </c>
      <c r="R290" s="4">
        <v>1010000000</v>
      </c>
      <c r="S290">
        <f>ROUND(1.02^A290,2)</f>
        <v>305.81</v>
      </c>
      <c r="T290" t="str">
        <f t="shared" si="40"/>
        <v>289,93097200000000,1010000000,305,81</v>
      </c>
    </row>
    <row r="291" spans="1:20" x14ac:dyDescent="0.25">
      <c r="A291">
        <f t="shared" si="49"/>
        <v>290</v>
      </c>
      <c r="B291" s="1">
        <v>95108500000000</v>
      </c>
      <c r="C291" s="1">
        <v>2011300000000</v>
      </c>
      <c r="E291" s="1">
        <f>+S291*10000</f>
        <v>3119200</v>
      </c>
      <c r="F291" s="1">
        <f t="shared" si="42"/>
        <v>651769.68453449605</v>
      </c>
      <c r="G291" s="1">
        <f t="shared" si="43"/>
        <v>325884.84226724802</v>
      </c>
      <c r="H291" s="1">
        <f t="shared" si="44"/>
        <v>130353.93690689921</v>
      </c>
      <c r="I291" s="1">
        <f t="shared" si="45"/>
        <v>65176.968453449605</v>
      </c>
      <c r="J291" s="1">
        <f t="shared" si="46"/>
        <v>43451.312302299732</v>
      </c>
      <c r="K291" s="1">
        <f t="shared" si="47"/>
        <v>21725.656151149866</v>
      </c>
      <c r="L291" s="1">
        <f t="shared" si="48"/>
        <v>6517.6968453449599</v>
      </c>
      <c r="M291" s="4">
        <f t="shared" si="41"/>
        <v>1020000000</v>
      </c>
      <c r="N291" s="4"/>
      <c r="O291" s="8"/>
      <c r="P291">
        <v>290</v>
      </c>
      <c r="Q291" s="1">
        <v>95108500000000</v>
      </c>
      <c r="R291" s="4">
        <v>1020000000</v>
      </c>
      <c r="S291">
        <f>ROUND(1.02^A291,2)</f>
        <v>311.92</v>
      </c>
      <c r="T291" t="str">
        <f t="shared" si="40"/>
        <v>290,95108500000000,1020000000,311,92</v>
      </c>
    </row>
    <row r="292" spans="1:20" x14ac:dyDescent="0.25">
      <c r="A292">
        <f t="shared" si="49"/>
        <v>291</v>
      </c>
      <c r="B292" s="1">
        <v>97141500000000</v>
      </c>
      <c r="C292" s="1">
        <v>2033000000000</v>
      </c>
      <c r="E292" s="1">
        <f>+S292*10000</f>
        <v>3181600.0000000005</v>
      </c>
      <c r="F292" s="1">
        <f t="shared" si="42"/>
        <v>645807.14106110123</v>
      </c>
      <c r="G292" s="1">
        <f t="shared" si="43"/>
        <v>322903.57053055061</v>
      </c>
      <c r="H292" s="1">
        <f t="shared" si="44"/>
        <v>129161.42821222026</v>
      </c>
      <c r="I292" s="1">
        <f t="shared" si="45"/>
        <v>64580.714106110128</v>
      </c>
      <c r="J292" s="1">
        <f t="shared" si="46"/>
        <v>43053.809404073414</v>
      </c>
      <c r="K292" s="1">
        <f t="shared" si="47"/>
        <v>21526.904702036707</v>
      </c>
      <c r="L292" s="1">
        <f t="shared" si="48"/>
        <v>6458.0714106110117</v>
      </c>
      <c r="M292" s="4">
        <f t="shared" si="41"/>
        <v>1030000000</v>
      </c>
      <c r="N292" s="4"/>
      <c r="O292" s="8"/>
      <c r="P292">
        <v>291</v>
      </c>
      <c r="Q292" s="1">
        <v>97141500000000</v>
      </c>
      <c r="R292" s="4">
        <v>1030000000</v>
      </c>
      <c r="S292">
        <f>ROUND(1.02^A292,2)</f>
        <v>318.16000000000003</v>
      </c>
      <c r="T292" t="str">
        <f t="shared" si="40"/>
        <v>291,97141500000000,1030000000,318,16</v>
      </c>
    </row>
    <row r="293" spans="1:20" x14ac:dyDescent="0.25">
      <c r="A293">
        <f t="shared" si="49"/>
        <v>292</v>
      </c>
      <c r="B293" s="1">
        <v>99196200000000</v>
      </c>
      <c r="C293" s="1">
        <v>2054700000000</v>
      </c>
      <c r="E293" s="1">
        <f>+S293*10000</f>
        <v>3245299.9999999995</v>
      </c>
      <c r="F293" s="1">
        <f t="shared" si="42"/>
        <v>639817.58234985988</v>
      </c>
      <c r="G293" s="1">
        <f t="shared" si="43"/>
        <v>319908.79117492994</v>
      </c>
      <c r="H293" s="1">
        <f t="shared" si="44"/>
        <v>127963.51646997198</v>
      </c>
      <c r="I293" s="1">
        <f t="shared" si="45"/>
        <v>63981.758234985988</v>
      </c>
      <c r="J293" s="1">
        <f t="shared" si="46"/>
        <v>42654.505489990661</v>
      </c>
      <c r="K293" s="1">
        <f t="shared" si="47"/>
        <v>21327.25274499533</v>
      </c>
      <c r="L293" s="1">
        <f t="shared" si="48"/>
        <v>6398.1758234985991</v>
      </c>
      <c r="M293" s="4">
        <f t="shared" si="41"/>
        <v>1040000000</v>
      </c>
      <c r="N293" s="4"/>
      <c r="O293" s="8"/>
      <c r="P293">
        <v>292</v>
      </c>
      <c r="Q293" s="1">
        <v>99196200000000</v>
      </c>
      <c r="R293" s="4">
        <v>1040000000</v>
      </c>
      <c r="S293">
        <f>ROUND(1.02^A293,2)</f>
        <v>324.52999999999997</v>
      </c>
      <c r="T293" t="str">
        <f t="shared" si="40"/>
        <v>292,99196200000000,1040000000,324,53</v>
      </c>
    </row>
    <row r="294" spans="1:20" x14ac:dyDescent="0.25">
      <c r="A294">
        <f t="shared" si="49"/>
        <v>293</v>
      </c>
      <c r="B294" s="1">
        <v>101272600000000</v>
      </c>
      <c r="C294" s="1">
        <v>2076400000000</v>
      </c>
      <c r="E294" s="1">
        <f>+S294*10000</f>
        <v>3310200</v>
      </c>
      <c r="F294" s="1">
        <f t="shared" si="42"/>
        <v>633828.77167542744</v>
      </c>
      <c r="G294" s="1">
        <f t="shared" si="43"/>
        <v>316914.38583771372</v>
      </c>
      <c r="H294" s="1">
        <f t="shared" si="44"/>
        <v>126765.7543350855</v>
      </c>
      <c r="I294" s="1">
        <f t="shared" si="45"/>
        <v>63382.877167542749</v>
      </c>
      <c r="J294" s="1">
        <f t="shared" si="46"/>
        <v>42255.251445028494</v>
      </c>
      <c r="K294" s="1">
        <f t="shared" si="47"/>
        <v>21127.625722514247</v>
      </c>
      <c r="L294" s="1">
        <f t="shared" si="48"/>
        <v>6338.2877167542747</v>
      </c>
      <c r="M294" s="4">
        <f t="shared" si="41"/>
        <v>1050000000</v>
      </c>
      <c r="N294" s="4"/>
      <c r="O294" s="8"/>
      <c r="P294">
        <v>293</v>
      </c>
      <c r="Q294" s="1">
        <v>101272600000000</v>
      </c>
      <c r="R294" s="4">
        <v>1050000000</v>
      </c>
      <c r="S294">
        <f>ROUND(1.02^A294,2)</f>
        <v>331.02</v>
      </c>
      <c r="T294" t="str">
        <f t="shared" si="40"/>
        <v>293,101272600000000,1050000000,331,02</v>
      </c>
    </row>
    <row r="295" spans="1:20" x14ac:dyDescent="0.25">
      <c r="A295">
        <f t="shared" si="49"/>
        <v>294</v>
      </c>
      <c r="B295" s="1">
        <v>103370700000000</v>
      </c>
      <c r="C295" s="1">
        <v>2098100000000</v>
      </c>
      <c r="E295" s="1">
        <f>+S295*10000</f>
        <v>3376400</v>
      </c>
      <c r="F295" s="1">
        <f t="shared" si="42"/>
        <v>627828.4563440351</v>
      </c>
      <c r="G295" s="1">
        <f t="shared" si="43"/>
        <v>313914.22817201755</v>
      </c>
      <c r="H295" s="1">
        <f t="shared" si="44"/>
        <v>125565.69126880702</v>
      </c>
      <c r="I295" s="1">
        <f t="shared" si="45"/>
        <v>62782.845634403508</v>
      </c>
      <c r="J295" s="1">
        <f t="shared" si="46"/>
        <v>41855.230422935674</v>
      </c>
      <c r="K295" s="1">
        <f t="shared" si="47"/>
        <v>20927.615211467837</v>
      </c>
      <c r="L295" s="1">
        <f t="shared" si="48"/>
        <v>6278.2845634403511</v>
      </c>
      <c r="M295" s="4">
        <f t="shared" si="41"/>
        <v>1060000000</v>
      </c>
      <c r="N295" s="4"/>
      <c r="O295" s="8"/>
      <c r="P295">
        <v>294</v>
      </c>
      <c r="Q295" s="1">
        <v>103370700000000</v>
      </c>
      <c r="R295" s="4">
        <v>1060000000</v>
      </c>
      <c r="S295">
        <f>ROUND(1.02^A295,2)</f>
        <v>337.64</v>
      </c>
      <c r="T295" t="str">
        <f t="shared" si="40"/>
        <v>294,103370700000000,1060000000,337,64</v>
      </c>
    </row>
    <row r="296" spans="1:20" x14ac:dyDescent="0.25">
      <c r="A296">
        <f t="shared" si="49"/>
        <v>295</v>
      </c>
      <c r="B296" s="1">
        <v>105490500000000</v>
      </c>
      <c r="C296" s="1">
        <v>2119800000000</v>
      </c>
      <c r="E296" s="1">
        <f>+S296*10000</f>
        <v>3443900</v>
      </c>
      <c r="F296" s="1">
        <f t="shared" si="42"/>
        <v>621824.09477627114</v>
      </c>
      <c r="G296" s="1">
        <f t="shared" si="43"/>
        <v>310912.04738813557</v>
      </c>
      <c r="H296" s="1">
        <f t="shared" si="44"/>
        <v>124364.81895525422</v>
      </c>
      <c r="I296" s="1">
        <f t="shared" si="45"/>
        <v>62182.409477627109</v>
      </c>
      <c r="J296" s="1">
        <f t="shared" si="46"/>
        <v>41454.939651751403</v>
      </c>
      <c r="K296" s="1">
        <f t="shared" si="47"/>
        <v>20727.469825875702</v>
      </c>
      <c r="L296" s="1">
        <f t="shared" si="48"/>
        <v>6218.2409477627107</v>
      </c>
      <c r="M296" s="4">
        <f t="shared" si="41"/>
        <v>1070000000</v>
      </c>
      <c r="N296" s="4"/>
      <c r="O296" s="8"/>
      <c r="P296">
        <v>295</v>
      </c>
      <c r="Q296" s="1">
        <v>105490500000000</v>
      </c>
      <c r="R296" s="4">
        <v>1070000000</v>
      </c>
      <c r="S296">
        <f>ROUND(1.02^A296,2)</f>
        <v>344.39</v>
      </c>
      <c r="T296" t="str">
        <f t="shared" si="40"/>
        <v>295,105490500000000,1070000000,344,39</v>
      </c>
    </row>
    <row r="297" spans="1:20" x14ac:dyDescent="0.25">
      <c r="A297">
        <f t="shared" si="49"/>
        <v>296</v>
      </c>
      <c r="B297" s="1">
        <v>107632000000000</v>
      </c>
      <c r="C297" s="1">
        <v>2141500000000</v>
      </c>
      <c r="E297" s="1">
        <f>+S297*10000</f>
        <v>3512799.9999999995</v>
      </c>
      <c r="F297" s="1">
        <f t="shared" si="42"/>
        <v>615805.05579594639</v>
      </c>
      <c r="G297" s="1">
        <f t="shared" si="43"/>
        <v>307902.5278979732</v>
      </c>
      <c r="H297" s="1">
        <f t="shared" si="44"/>
        <v>123161.01115918928</v>
      </c>
      <c r="I297" s="1">
        <f t="shared" si="45"/>
        <v>61580.505579594639</v>
      </c>
      <c r="J297" s="1">
        <f t="shared" si="46"/>
        <v>41053.670386396421</v>
      </c>
      <c r="K297" s="1">
        <f t="shared" si="47"/>
        <v>20526.835193198211</v>
      </c>
      <c r="L297" s="1">
        <f t="shared" si="48"/>
        <v>6158.0505579594637</v>
      </c>
      <c r="M297" s="4">
        <f t="shared" si="41"/>
        <v>1080000000</v>
      </c>
      <c r="N297" s="4"/>
      <c r="O297" s="8"/>
      <c r="P297">
        <v>296</v>
      </c>
      <c r="Q297" s="1">
        <v>107632000000000</v>
      </c>
      <c r="R297" s="4">
        <v>1080000000</v>
      </c>
      <c r="S297">
        <f>ROUND(1.02^A297,2)</f>
        <v>351.28</v>
      </c>
      <c r="T297" t="str">
        <f t="shared" si="40"/>
        <v>296,107632000000000,1080000000,351,28</v>
      </c>
    </row>
    <row r="298" spans="1:20" x14ac:dyDescent="0.25">
      <c r="A298">
        <f t="shared" si="49"/>
        <v>297</v>
      </c>
      <c r="B298" s="1">
        <v>109795200000000</v>
      </c>
      <c r="C298" s="1">
        <v>2163200000000</v>
      </c>
      <c r="E298" s="1">
        <f>+S298*10000</f>
        <v>3583000</v>
      </c>
      <c r="F298" s="1">
        <f t="shared" si="42"/>
        <v>609796.26011722023</v>
      </c>
      <c r="G298" s="1">
        <f t="shared" si="43"/>
        <v>304898.13005861011</v>
      </c>
      <c r="H298" s="1">
        <f t="shared" si="44"/>
        <v>121959.25202344405</v>
      </c>
      <c r="I298" s="1">
        <f t="shared" si="45"/>
        <v>60979.626011722023</v>
      </c>
      <c r="J298" s="1">
        <f t="shared" si="46"/>
        <v>40653.084007814679</v>
      </c>
      <c r="K298" s="1">
        <f t="shared" si="47"/>
        <v>20326.54200390734</v>
      </c>
      <c r="L298" s="1">
        <f t="shared" si="48"/>
        <v>6097.9626011722021</v>
      </c>
      <c r="M298" s="4">
        <f t="shared" si="41"/>
        <v>1090000000</v>
      </c>
      <c r="N298" s="4"/>
      <c r="O298" s="8"/>
      <c r="P298">
        <v>297</v>
      </c>
      <c r="Q298" s="1">
        <v>109795200000000</v>
      </c>
      <c r="R298" s="4">
        <v>1090000000</v>
      </c>
      <c r="S298">
        <f>ROUND(1.02^A298,2)</f>
        <v>358.3</v>
      </c>
      <c r="T298" t="str">
        <f t="shared" si="40"/>
        <v>297,109795200000000,1090000000,358,3</v>
      </c>
    </row>
    <row r="299" spans="1:20" x14ac:dyDescent="0.25">
      <c r="A299">
        <f t="shared" si="49"/>
        <v>298</v>
      </c>
      <c r="B299" s="1">
        <v>111980100000000</v>
      </c>
      <c r="C299" s="1">
        <v>2184900000000</v>
      </c>
      <c r="E299" s="1">
        <f>+S299*10000</f>
        <v>3654700.0000000005</v>
      </c>
      <c r="F299" s="1">
        <f t="shared" si="42"/>
        <v>603770.4873177004</v>
      </c>
      <c r="G299" s="1">
        <f t="shared" si="43"/>
        <v>301885.2436588502</v>
      </c>
      <c r="H299" s="1">
        <f t="shared" si="44"/>
        <v>120754.09746354008</v>
      </c>
      <c r="I299" s="1">
        <f t="shared" si="45"/>
        <v>60377.048731770039</v>
      </c>
      <c r="J299" s="1">
        <f t="shared" si="46"/>
        <v>40251.365821180028</v>
      </c>
      <c r="K299" s="1">
        <f t="shared" si="47"/>
        <v>20125.682910590014</v>
      </c>
      <c r="L299" s="1">
        <f t="shared" si="48"/>
        <v>6037.7048731770037</v>
      </c>
      <c r="M299" s="4">
        <f t="shared" si="41"/>
        <v>1100000000</v>
      </c>
      <c r="N299" s="4"/>
      <c r="O299" s="8"/>
      <c r="P299">
        <v>298</v>
      </c>
      <c r="Q299" s="1">
        <v>111980100000000</v>
      </c>
      <c r="R299" s="4">
        <v>1100000000</v>
      </c>
      <c r="S299">
        <f>ROUND(1.02^A299,2)</f>
        <v>365.47</v>
      </c>
      <c r="T299" t="str">
        <f t="shared" si="40"/>
        <v>298,111980100000000,1100000000,365,47</v>
      </c>
    </row>
    <row r="300" spans="1:20" x14ac:dyDescent="0.25">
      <c r="A300">
        <f t="shared" si="49"/>
        <v>299</v>
      </c>
      <c r="B300" s="1">
        <v>114186700000000</v>
      </c>
      <c r="C300" s="1">
        <v>2206600000000</v>
      </c>
      <c r="E300" s="1">
        <f>+S300*10000</f>
        <v>3727799.9999999995</v>
      </c>
      <c r="F300" s="1">
        <f t="shared" si="42"/>
        <v>597752.02532324707</v>
      </c>
      <c r="G300" s="1">
        <f t="shared" si="43"/>
        <v>298876.01266162354</v>
      </c>
      <c r="H300" s="1">
        <f t="shared" si="44"/>
        <v>119550.40506464941</v>
      </c>
      <c r="I300" s="1">
        <f t="shared" si="45"/>
        <v>59775.202532324707</v>
      </c>
      <c r="J300" s="1">
        <f t="shared" si="46"/>
        <v>39850.135021549802</v>
      </c>
      <c r="K300" s="1">
        <f t="shared" si="47"/>
        <v>19925.067510774901</v>
      </c>
      <c r="L300" s="1">
        <f t="shared" si="48"/>
        <v>5977.5202532324702</v>
      </c>
      <c r="M300" s="4">
        <f t="shared" si="41"/>
        <v>1110000000</v>
      </c>
      <c r="N300" s="4"/>
      <c r="O300" s="8"/>
      <c r="P300">
        <v>299</v>
      </c>
      <c r="Q300" s="1">
        <v>114186700000000</v>
      </c>
      <c r="R300" s="4">
        <v>1110000000</v>
      </c>
      <c r="S300">
        <f>ROUND(1.02^A300,2)</f>
        <v>372.78</v>
      </c>
      <c r="T300" t="str">
        <f t="shared" si="40"/>
        <v>299,114186700000000,1110000000,372,78</v>
      </c>
    </row>
    <row r="301" spans="1:20" x14ac:dyDescent="0.25">
      <c r="A301">
        <f t="shared" si="49"/>
        <v>300</v>
      </c>
      <c r="B301" s="1">
        <v>116415000000000</v>
      </c>
      <c r="C301" s="1">
        <v>2228300000000</v>
      </c>
      <c r="E301" s="1">
        <f>+S301*10000</f>
        <v>3802300</v>
      </c>
      <c r="F301" s="1">
        <f t="shared" si="42"/>
        <v>591747.10043920786</v>
      </c>
      <c r="G301" s="1">
        <f t="shared" si="43"/>
        <v>295873.55021960393</v>
      </c>
      <c r="H301" s="1">
        <f t="shared" si="44"/>
        <v>118349.42008784157</v>
      </c>
      <c r="I301" s="1">
        <f t="shared" si="45"/>
        <v>59174.710043920786</v>
      </c>
      <c r="J301" s="1">
        <f t="shared" si="46"/>
        <v>39449.806695947191</v>
      </c>
      <c r="K301" s="1">
        <f t="shared" si="47"/>
        <v>19724.903347973595</v>
      </c>
      <c r="L301" s="1">
        <f t="shared" si="48"/>
        <v>5917.4710043920786</v>
      </c>
      <c r="M301" s="4">
        <f t="shared" si="41"/>
        <v>1130000000</v>
      </c>
      <c r="N301" s="4"/>
      <c r="O301" s="8"/>
      <c r="P301">
        <v>300</v>
      </c>
      <c r="Q301" s="1">
        <v>116415000000000</v>
      </c>
      <c r="R301" s="4">
        <v>1130000000</v>
      </c>
      <c r="S301">
        <f>ROUND(1.02^A301,2)</f>
        <v>380.23</v>
      </c>
      <c r="T301" t="str">
        <f t="shared" si="40"/>
        <v>300,116415000000000,1130000000,380,23</v>
      </c>
    </row>
    <row r="302" spans="1:20" x14ac:dyDescent="0.25">
      <c r="A302">
        <f t="shared" si="49"/>
        <v>301</v>
      </c>
      <c r="B302" s="1">
        <v>118665000000000</v>
      </c>
      <c r="C302" s="1">
        <v>2250000000000</v>
      </c>
      <c r="E302" s="1">
        <f>+S302*10000</f>
        <v>3878399.9999999995</v>
      </c>
      <c r="F302" s="1">
        <f t="shared" si="42"/>
        <v>585731.22937293735</v>
      </c>
      <c r="G302" s="1">
        <f t="shared" si="43"/>
        <v>292865.61468646867</v>
      </c>
      <c r="H302" s="1">
        <f t="shared" si="44"/>
        <v>117146.24587458748</v>
      </c>
      <c r="I302" s="1">
        <f t="shared" si="45"/>
        <v>58573.122937293738</v>
      </c>
      <c r="J302" s="1">
        <f t="shared" si="46"/>
        <v>39048.748624862492</v>
      </c>
      <c r="K302" s="1">
        <f t="shared" si="47"/>
        <v>19524.374312431246</v>
      </c>
      <c r="L302" s="1">
        <f t="shared" si="48"/>
        <v>5857.3122937293738</v>
      </c>
      <c r="M302" s="4">
        <f t="shared" si="41"/>
        <v>1140000000</v>
      </c>
      <c r="N302" s="4"/>
      <c r="O302" s="8"/>
      <c r="P302">
        <v>301</v>
      </c>
      <c r="Q302" s="1">
        <v>118665000000000</v>
      </c>
      <c r="R302" s="4">
        <v>1140000000</v>
      </c>
      <c r="S302">
        <f>ROUND(1.02^A302,2)</f>
        <v>387.84</v>
      </c>
      <c r="T302" t="str">
        <f t="shared" si="40"/>
        <v>301,118665000000000,1140000000,387,84</v>
      </c>
    </row>
    <row r="303" spans="1:20" x14ac:dyDescent="0.25">
      <c r="A303">
        <f t="shared" si="49"/>
        <v>302</v>
      </c>
      <c r="B303" s="1">
        <v>120936700000000</v>
      </c>
      <c r="C303" s="1">
        <v>2271700000000</v>
      </c>
      <c r="E303" s="1">
        <f>+S303*10000</f>
        <v>3956000</v>
      </c>
      <c r="F303" s="1">
        <f t="shared" si="42"/>
        <v>579726.99696663301</v>
      </c>
      <c r="G303" s="1">
        <f t="shared" si="43"/>
        <v>289863.49848331651</v>
      </c>
      <c r="H303" s="1">
        <f t="shared" si="44"/>
        <v>115945.39939332659</v>
      </c>
      <c r="I303" s="1">
        <f t="shared" si="45"/>
        <v>57972.699696663294</v>
      </c>
      <c r="J303" s="1">
        <f t="shared" si="46"/>
        <v>38648.466464442201</v>
      </c>
      <c r="K303" s="1">
        <f t="shared" si="47"/>
        <v>19324.2332322211</v>
      </c>
      <c r="L303" s="1">
        <f t="shared" si="48"/>
        <v>5797.2699696663294</v>
      </c>
      <c r="M303" s="4">
        <f t="shared" si="41"/>
        <v>1150000000</v>
      </c>
      <c r="N303" s="4"/>
      <c r="O303" s="8"/>
      <c r="P303">
        <v>302</v>
      </c>
      <c r="Q303" s="1">
        <v>120936700000000</v>
      </c>
      <c r="R303" s="4">
        <v>1150000000</v>
      </c>
      <c r="S303">
        <f>ROUND(1.02^A303,2)</f>
        <v>395.6</v>
      </c>
      <c r="T303" t="str">
        <f t="shared" si="40"/>
        <v>302,120936700000000,1150000000,395,6</v>
      </c>
    </row>
    <row r="304" spans="1:20" x14ac:dyDescent="0.25">
      <c r="A304">
        <f t="shared" si="49"/>
        <v>303</v>
      </c>
      <c r="B304" s="1">
        <v>123230100000000</v>
      </c>
      <c r="C304" s="1">
        <v>2293400000000</v>
      </c>
      <c r="E304" s="1">
        <f>+S304*10000</f>
        <v>4035100</v>
      </c>
      <c r="F304" s="1">
        <f t="shared" si="42"/>
        <v>573740.42774652422</v>
      </c>
      <c r="G304" s="1">
        <f t="shared" si="43"/>
        <v>286870.21387326211</v>
      </c>
      <c r="H304" s="1">
        <f t="shared" si="44"/>
        <v>114748.08554930484</v>
      </c>
      <c r="I304" s="1">
        <f t="shared" si="45"/>
        <v>57374.042774652422</v>
      </c>
      <c r="J304" s="1">
        <f t="shared" si="46"/>
        <v>38249.361849768284</v>
      </c>
      <c r="K304" s="1">
        <f t="shared" si="47"/>
        <v>19124.680924884142</v>
      </c>
      <c r="L304" s="1">
        <f t="shared" si="48"/>
        <v>5737.4042774652426</v>
      </c>
      <c r="M304" s="4">
        <f t="shared" si="41"/>
        <v>1160000000</v>
      </c>
      <c r="N304" s="4"/>
      <c r="O304" s="8"/>
      <c r="P304">
        <v>303</v>
      </c>
      <c r="Q304" s="1">
        <v>123230100000000</v>
      </c>
      <c r="R304" s="4">
        <v>1160000000</v>
      </c>
      <c r="S304">
        <f>ROUND(1.02^A304,2)</f>
        <v>403.51</v>
      </c>
      <c r="T304" t="str">
        <f t="shared" si="40"/>
        <v>303,123230100000000,1160000000,403,51</v>
      </c>
    </row>
    <row r="305" spans="1:20" x14ac:dyDescent="0.25">
      <c r="A305">
        <f t="shared" si="49"/>
        <v>304</v>
      </c>
      <c r="B305" s="1">
        <v>125545200000000</v>
      </c>
      <c r="C305" s="1">
        <v>2315100000000</v>
      </c>
      <c r="E305" s="1">
        <f>+S305*10000</f>
        <v>4115800</v>
      </c>
      <c r="F305" s="1">
        <f t="shared" si="42"/>
        <v>567763.25380241999</v>
      </c>
      <c r="G305" s="1">
        <f t="shared" si="43"/>
        <v>283881.62690120999</v>
      </c>
      <c r="H305" s="1">
        <f t="shared" si="44"/>
        <v>113552.65076048399</v>
      </c>
      <c r="I305" s="1">
        <f t="shared" si="45"/>
        <v>56776.325380241993</v>
      </c>
      <c r="J305" s="1">
        <f t="shared" si="46"/>
        <v>37850.883586827993</v>
      </c>
      <c r="K305" s="1">
        <f t="shared" si="47"/>
        <v>18925.441793413996</v>
      </c>
      <c r="L305" s="1">
        <f t="shared" si="48"/>
        <v>5677.6325380241997</v>
      </c>
      <c r="M305" s="4">
        <f t="shared" si="41"/>
        <v>1170000000</v>
      </c>
      <c r="N305" s="4"/>
      <c r="O305" s="8"/>
      <c r="P305">
        <v>304</v>
      </c>
      <c r="Q305" s="1">
        <v>125545200000000</v>
      </c>
      <c r="R305" s="4">
        <v>1170000000</v>
      </c>
      <c r="S305">
        <f>ROUND(1.02^A305,2)</f>
        <v>411.58</v>
      </c>
      <c r="T305" t="str">
        <f t="shared" si="40"/>
        <v>304,125545200000000,1170000000,411,58</v>
      </c>
    </row>
    <row r="306" spans="1:20" x14ac:dyDescent="0.25">
      <c r="A306">
        <f t="shared" si="49"/>
        <v>305</v>
      </c>
      <c r="B306" s="1">
        <v>127882000000000</v>
      </c>
      <c r="C306" s="1">
        <v>2336800000000</v>
      </c>
      <c r="E306" s="1">
        <f>+S306*10000</f>
        <v>4198100</v>
      </c>
      <c r="F306" s="1">
        <f t="shared" si="42"/>
        <v>561801.76746623474</v>
      </c>
      <c r="G306" s="1">
        <f t="shared" si="43"/>
        <v>280900.88373311737</v>
      </c>
      <c r="H306" s="1">
        <f t="shared" si="44"/>
        <v>112360.35349324695</v>
      </c>
      <c r="I306" s="1">
        <f t="shared" si="45"/>
        <v>56180.176746623474</v>
      </c>
      <c r="J306" s="1">
        <f t="shared" si="46"/>
        <v>37453.451164415652</v>
      </c>
      <c r="K306" s="1">
        <f t="shared" si="47"/>
        <v>18726.725582207826</v>
      </c>
      <c r="L306" s="1">
        <f t="shared" si="48"/>
        <v>5618.0176746623474</v>
      </c>
      <c r="M306" s="4">
        <f t="shared" si="41"/>
        <v>1180000000</v>
      </c>
      <c r="N306" s="4"/>
      <c r="O306" s="8"/>
      <c r="P306">
        <v>305</v>
      </c>
      <c r="Q306" s="1">
        <v>127882000000000</v>
      </c>
      <c r="R306" s="4">
        <v>1180000000</v>
      </c>
      <c r="S306">
        <f>ROUND(1.02^A306,2)</f>
        <v>419.81</v>
      </c>
      <c r="T306" t="str">
        <f t="shared" si="40"/>
        <v>305,127882000000000,1180000000,419,81</v>
      </c>
    </row>
    <row r="307" spans="1:20" x14ac:dyDescent="0.25">
      <c r="A307">
        <f t="shared" si="49"/>
        <v>306</v>
      </c>
      <c r="B307" s="1">
        <v>130240500000000</v>
      </c>
      <c r="C307" s="1">
        <v>2358500000000</v>
      </c>
      <c r="E307" s="1">
        <f>+S307*10000</f>
        <v>4282100</v>
      </c>
      <c r="F307" s="1">
        <f t="shared" si="42"/>
        <v>555848.76579248498</v>
      </c>
      <c r="G307" s="1">
        <f t="shared" si="43"/>
        <v>277924.38289624249</v>
      </c>
      <c r="H307" s="1">
        <f t="shared" si="44"/>
        <v>111169.753158497</v>
      </c>
      <c r="I307" s="1">
        <f t="shared" si="45"/>
        <v>55584.876579248499</v>
      </c>
      <c r="J307" s="1">
        <f t="shared" si="46"/>
        <v>37056.584386165669</v>
      </c>
      <c r="K307" s="1">
        <f t="shared" si="47"/>
        <v>18528.292193082834</v>
      </c>
      <c r="L307" s="1">
        <f t="shared" si="48"/>
        <v>5558.4876579248503</v>
      </c>
      <c r="M307" s="4">
        <f t="shared" si="41"/>
        <v>1190000000</v>
      </c>
      <c r="N307" s="4"/>
      <c r="O307" s="8"/>
      <c r="P307">
        <v>306</v>
      </c>
      <c r="Q307" s="1">
        <v>130240500000000</v>
      </c>
      <c r="R307" s="4">
        <v>1190000000</v>
      </c>
      <c r="S307">
        <f>ROUND(1.02^A307,2)</f>
        <v>428.21</v>
      </c>
      <c r="T307" t="str">
        <f t="shared" si="40"/>
        <v>306,130240500000000,1190000000,428,21</v>
      </c>
    </row>
    <row r="308" spans="1:20" x14ac:dyDescent="0.25">
      <c r="A308">
        <f t="shared" si="49"/>
        <v>307</v>
      </c>
      <c r="B308" s="1">
        <v>132620700000000</v>
      </c>
      <c r="C308" s="1">
        <v>2380200000000</v>
      </c>
      <c r="E308" s="1">
        <f>+S308*10000</f>
        <v>4367700</v>
      </c>
      <c r="F308" s="1">
        <f t="shared" si="42"/>
        <v>549923.30059298943</v>
      </c>
      <c r="G308" s="1">
        <f t="shared" si="43"/>
        <v>274961.65029649471</v>
      </c>
      <c r="H308" s="1">
        <f t="shared" si="44"/>
        <v>109984.66011859789</v>
      </c>
      <c r="I308" s="1">
        <f t="shared" si="45"/>
        <v>54992.330059298947</v>
      </c>
      <c r="J308" s="1">
        <f t="shared" si="46"/>
        <v>36661.553372865965</v>
      </c>
      <c r="K308" s="1">
        <f t="shared" si="47"/>
        <v>18330.776686432982</v>
      </c>
      <c r="L308" s="1">
        <f t="shared" si="48"/>
        <v>5499.2330059298947</v>
      </c>
      <c r="M308" s="4">
        <f t="shared" si="41"/>
        <v>1200000000</v>
      </c>
      <c r="N308" s="4"/>
      <c r="O308" s="8"/>
      <c r="P308">
        <v>307</v>
      </c>
      <c r="Q308" s="1">
        <v>132620700000000</v>
      </c>
      <c r="R308" s="4">
        <v>1200000000</v>
      </c>
      <c r="S308">
        <f>ROUND(1.02^A308,2)</f>
        <v>436.77</v>
      </c>
      <c r="T308" t="str">
        <f t="shared" si="40"/>
        <v>307,132620700000000,1200000000,436,77</v>
      </c>
    </row>
    <row r="309" spans="1:20" x14ac:dyDescent="0.25">
      <c r="A309">
        <f t="shared" si="49"/>
        <v>308</v>
      </c>
      <c r="B309" s="1">
        <v>135022600000000</v>
      </c>
      <c r="C309" s="1">
        <v>2401900000000</v>
      </c>
      <c r="E309" s="1">
        <f>+S309*10000</f>
        <v>4455100</v>
      </c>
      <c r="F309" s="1">
        <f t="shared" si="42"/>
        <v>544005.74622342933</v>
      </c>
      <c r="G309" s="1">
        <f t="shared" si="43"/>
        <v>272002.87311171467</v>
      </c>
      <c r="H309" s="1">
        <f t="shared" si="44"/>
        <v>108801.14924468586</v>
      </c>
      <c r="I309" s="1">
        <f t="shared" si="45"/>
        <v>54400.574622342931</v>
      </c>
      <c r="J309" s="1">
        <f t="shared" si="46"/>
        <v>36267.049748228623</v>
      </c>
      <c r="K309" s="1">
        <f t="shared" si="47"/>
        <v>18133.524874114311</v>
      </c>
      <c r="L309" s="1">
        <f t="shared" si="48"/>
        <v>5440.0574622342929</v>
      </c>
      <c r="M309" s="4">
        <f t="shared" si="41"/>
        <v>1210000000</v>
      </c>
      <c r="N309" s="4"/>
      <c r="O309" s="8"/>
      <c r="P309">
        <v>308</v>
      </c>
      <c r="Q309" s="1">
        <v>135022600000000</v>
      </c>
      <c r="R309" s="4">
        <v>1210000000</v>
      </c>
      <c r="S309">
        <f>ROUND(1.02^A309,2)</f>
        <v>445.51</v>
      </c>
      <c r="T309" t="str">
        <f t="shared" si="40"/>
        <v>308,135022600000000,1210000000,445,51</v>
      </c>
    </row>
    <row r="310" spans="1:20" x14ac:dyDescent="0.25">
      <c r="A310">
        <f t="shared" si="49"/>
        <v>309</v>
      </c>
      <c r="B310" s="1">
        <v>137446200000000</v>
      </c>
      <c r="C310" s="1">
        <v>2423600000000</v>
      </c>
      <c r="E310" s="1">
        <f>+S310*10000</f>
        <v>4544200</v>
      </c>
      <c r="F310" s="1">
        <f t="shared" si="42"/>
        <v>538114.5196074117</v>
      </c>
      <c r="G310" s="1">
        <f t="shared" si="43"/>
        <v>269057.25980370585</v>
      </c>
      <c r="H310" s="1">
        <f t="shared" si="44"/>
        <v>107622.90392148233</v>
      </c>
      <c r="I310" s="1">
        <f t="shared" si="45"/>
        <v>53811.451960741164</v>
      </c>
      <c r="J310" s="1">
        <f t="shared" si="46"/>
        <v>35874.301307160778</v>
      </c>
      <c r="K310" s="1">
        <f t="shared" si="47"/>
        <v>17937.150653580389</v>
      </c>
      <c r="L310" s="1">
        <f t="shared" si="48"/>
        <v>5381.145196074116</v>
      </c>
      <c r="M310" s="4">
        <f t="shared" si="41"/>
        <v>1220000000</v>
      </c>
      <c r="N310" s="4"/>
      <c r="O310" s="8"/>
      <c r="P310">
        <v>309</v>
      </c>
      <c r="Q310" s="1">
        <v>137446200000000</v>
      </c>
      <c r="R310" s="4">
        <v>1220000000</v>
      </c>
      <c r="S310">
        <f>ROUND(1.02^A310,2)</f>
        <v>454.42</v>
      </c>
      <c r="T310" t="str">
        <f t="shared" si="40"/>
        <v>309,137446200000000,1220000000,454,42</v>
      </c>
    </row>
    <row r="311" spans="1:20" x14ac:dyDescent="0.25">
      <c r="A311">
        <f t="shared" si="49"/>
        <v>310</v>
      </c>
      <c r="B311" s="1">
        <v>139891500000000</v>
      </c>
      <c r="C311" s="1">
        <v>2445300000000</v>
      </c>
      <c r="E311" s="1">
        <f>+S311*10000</f>
        <v>4635000</v>
      </c>
      <c r="F311" s="1">
        <f t="shared" si="42"/>
        <v>532254.58468176913</v>
      </c>
      <c r="G311" s="1">
        <f t="shared" si="43"/>
        <v>266127.29234088457</v>
      </c>
      <c r="H311" s="1">
        <f t="shared" si="44"/>
        <v>106450.91693635382</v>
      </c>
      <c r="I311" s="1">
        <f t="shared" si="45"/>
        <v>53225.458468176912</v>
      </c>
      <c r="J311" s="1">
        <f t="shared" si="46"/>
        <v>35483.638978784613</v>
      </c>
      <c r="K311" s="1">
        <f t="shared" si="47"/>
        <v>17741.819489392306</v>
      </c>
      <c r="L311" s="1">
        <f t="shared" si="48"/>
        <v>5322.5458468176912</v>
      </c>
      <c r="M311" s="4">
        <f t="shared" si="41"/>
        <v>1230000000</v>
      </c>
      <c r="N311" s="4"/>
      <c r="O311" s="8"/>
      <c r="P311">
        <v>310</v>
      </c>
      <c r="Q311" s="1">
        <v>139891500000000</v>
      </c>
      <c r="R311" s="4">
        <v>1230000000</v>
      </c>
      <c r="S311">
        <f>ROUND(1.02^A311,2)</f>
        <v>463.5</v>
      </c>
      <c r="T311" t="str">
        <f t="shared" si="40"/>
        <v>310,139891500000000,1230000000,463,5</v>
      </c>
    </row>
    <row r="312" spans="1:20" x14ac:dyDescent="0.25">
      <c r="A312">
        <f t="shared" si="49"/>
        <v>311</v>
      </c>
      <c r="B312" s="1">
        <v>142358500000000</v>
      </c>
      <c r="C312" s="1">
        <v>2467000000000</v>
      </c>
      <c r="E312" s="1">
        <f>+S312*10000</f>
        <v>4727700</v>
      </c>
      <c r="F312" s="1">
        <f t="shared" si="42"/>
        <v>526408.19002897816</v>
      </c>
      <c r="G312" s="1">
        <f t="shared" si="43"/>
        <v>263204.09501448908</v>
      </c>
      <c r="H312" s="1">
        <f t="shared" si="44"/>
        <v>105281.63800579563</v>
      </c>
      <c r="I312" s="1">
        <f t="shared" si="45"/>
        <v>52640.819002897813</v>
      </c>
      <c r="J312" s="1">
        <f t="shared" si="46"/>
        <v>35093.879335265206</v>
      </c>
      <c r="K312" s="1">
        <f t="shared" si="47"/>
        <v>17546.939667632603</v>
      </c>
      <c r="L312" s="1">
        <f t="shared" si="48"/>
        <v>5264.0819002897815</v>
      </c>
      <c r="M312" s="4">
        <f t="shared" si="41"/>
        <v>1240000000</v>
      </c>
      <c r="N312" s="4"/>
      <c r="O312" s="8"/>
      <c r="P312">
        <v>311</v>
      </c>
      <c r="Q312" s="1">
        <v>142358500000000</v>
      </c>
      <c r="R312" s="4">
        <v>1240000000</v>
      </c>
      <c r="S312">
        <f>ROUND(1.02^A312,2)</f>
        <v>472.77</v>
      </c>
      <c r="T312" t="str">
        <f t="shared" si="40"/>
        <v>311,142358500000000,1240000000,472,77</v>
      </c>
    </row>
    <row r="313" spans="1:20" x14ac:dyDescent="0.25">
      <c r="A313">
        <f t="shared" si="49"/>
        <v>312</v>
      </c>
      <c r="B313" s="1">
        <v>144847200000000</v>
      </c>
      <c r="C313" s="1">
        <v>2488700000000</v>
      </c>
      <c r="E313" s="1">
        <f>+S313*10000</f>
        <v>4822300</v>
      </c>
      <c r="F313" s="1">
        <f t="shared" si="42"/>
        <v>520581.46527590568</v>
      </c>
      <c r="G313" s="1">
        <f t="shared" si="43"/>
        <v>260290.73263795284</v>
      </c>
      <c r="H313" s="1">
        <f t="shared" si="44"/>
        <v>104116.29305518114</v>
      </c>
      <c r="I313" s="1">
        <f t="shared" si="45"/>
        <v>52058.146527590572</v>
      </c>
      <c r="J313" s="1">
        <f t="shared" si="46"/>
        <v>34705.431018393712</v>
      </c>
      <c r="K313" s="1">
        <f t="shared" si="47"/>
        <v>17352.715509196856</v>
      </c>
      <c r="L313" s="1">
        <f t="shared" si="48"/>
        <v>5205.814652759057</v>
      </c>
      <c r="M313" s="4">
        <f t="shared" si="41"/>
        <v>1260000000</v>
      </c>
      <c r="N313" s="4"/>
      <c r="O313" s="8"/>
      <c r="P313">
        <v>312</v>
      </c>
      <c r="Q313" s="1">
        <v>144847200000000</v>
      </c>
      <c r="R313" s="4">
        <v>1260000000</v>
      </c>
      <c r="S313">
        <f>ROUND(1.02^A313,2)</f>
        <v>482.23</v>
      </c>
      <c r="T313" t="str">
        <f t="shared" si="40"/>
        <v>312,144847200000000,1260000000,482,23</v>
      </c>
    </row>
    <row r="314" spans="1:20" x14ac:dyDescent="0.25">
      <c r="A314">
        <f t="shared" si="49"/>
        <v>313</v>
      </c>
      <c r="B314" s="1">
        <v>147357600000000</v>
      </c>
      <c r="C314" s="1">
        <v>2510400000000</v>
      </c>
      <c r="E314" s="1">
        <f>+S314*10000</f>
        <v>4918700</v>
      </c>
      <c r="F314" s="1">
        <f t="shared" si="42"/>
        <v>514790.49342305894</v>
      </c>
      <c r="G314" s="1">
        <f t="shared" si="43"/>
        <v>257395.24671152947</v>
      </c>
      <c r="H314" s="1">
        <f t="shared" si="44"/>
        <v>102958.09868461179</v>
      </c>
      <c r="I314" s="1">
        <f t="shared" si="45"/>
        <v>51479.049342305894</v>
      </c>
      <c r="J314" s="1">
        <f t="shared" si="46"/>
        <v>34319.366228203929</v>
      </c>
      <c r="K314" s="1">
        <f t="shared" si="47"/>
        <v>17159.683114101965</v>
      </c>
      <c r="L314" s="1">
        <f t="shared" si="48"/>
        <v>5147.9049342305898</v>
      </c>
      <c r="M314" s="4">
        <f t="shared" si="41"/>
        <v>1270000000</v>
      </c>
      <c r="N314" s="4"/>
      <c r="O314" s="8"/>
      <c r="P314">
        <v>313</v>
      </c>
      <c r="Q314" s="1">
        <v>147357600000000</v>
      </c>
      <c r="R314" s="4">
        <v>1270000000</v>
      </c>
      <c r="S314">
        <f>ROUND(1.02^A314,2)</f>
        <v>491.87</v>
      </c>
      <c r="T314" t="str">
        <f t="shared" si="40"/>
        <v>313,147357600000000,1270000000,491,87</v>
      </c>
    </row>
    <row r="315" spans="1:20" x14ac:dyDescent="0.25">
      <c r="A315">
        <f t="shared" si="49"/>
        <v>314</v>
      </c>
      <c r="B315" s="1">
        <v>149889700000000</v>
      </c>
      <c r="C315" s="1">
        <v>2532100000000</v>
      </c>
      <c r="E315" s="1">
        <f>+S315*10000</f>
        <v>5017100</v>
      </c>
      <c r="F315" s="1">
        <f t="shared" si="42"/>
        <v>509019.15449163859</v>
      </c>
      <c r="G315" s="1">
        <f t="shared" si="43"/>
        <v>254509.5772458193</v>
      </c>
      <c r="H315" s="1">
        <f t="shared" si="44"/>
        <v>101803.83089832772</v>
      </c>
      <c r="I315" s="1">
        <f t="shared" si="45"/>
        <v>50901.915449163862</v>
      </c>
      <c r="J315" s="1">
        <f t="shared" si="46"/>
        <v>33934.610299442575</v>
      </c>
      <c r="K315" s="1">
        <f t="shared" si="47"/>
        <v>16967.305149721287</v>
      </c>
      <c r="L315" s="1">
        <f t="shared" si="48"/>
        <v>5090.1915449163862</v>
      </c>
      <c r="M315" s="4">
        <f t="shared" si="41"/>
        <v>1280000000</v>
      </c>
      <c r="N315" s="4"/>
      <c r="O315" s="8"/>
      <c r="P315">
        <v>314</v>
      </c>
      <c r="Q315" s="1">
        <v>149889700000000</v>
      </c>
      <c r="R315" s="4">
        <v>1280000000</v>
      </c>
      <c r="S315">
        <f>ROUND(1.02^A315,2)</f>
        <v>501.71</v>
      </c>
      <c r="T315" t="str">
        <f t="shared" si="40"/>
        <v>314,149889700000000,1280000000,501,71</v>
      </c>
    </row>
    <row r="316" spans="1:20" x14ac:dyDescent="0.25">
      <c r="A316">
        <f t="shared" si="49"/>
        <v>315</v>
      </c>
      <c r="B316" s="1">
        <v>152443500000000</v>
      </c>
      <c r="C316" s="1">
        <v>2553800000000</v>
      </c>
      <c r="E316" s="1">
        <f>+S316*10000</f>
        <v>5117500</v>
      </c>
      <c r="F316" s="1">
        <f t="shared" si="42"/>
        <v>503273.08255984366</v>
      </c>
      <c r="G316" s="1">
        <f t="shared" si="43"/>
        <v>251636.54127992183</v>
      </c>
      <c r="H316" s="1">
        <f t="shared" si="44"/>
        <v>100654.61651196874</v>
      </c>
      <c r="I316" s="1">
        <f t="shared" si="45"/>
        <v>50327.308255984368</v>
      </c>
      <c r="J316" s="1">
        <f t="shared" si="46"/>
        <v>33551.538837322914</v>
      </c>
      <c r="K316" s="1">
        <f t="shared" si="47"/>
        <v>16775.769418661457</v>
      </c>
      <c r="L316" s="1">
        <f t="shared" si="48"/>
        <v>5032.7308255984371</v>
      </c>
      <c r="M316" s="4">
        <f t="shared" si="41"/>
        <v>1290000000</v>
      </c>
      <c r="N316" s="4"/>
      <c r="O316" s="8"/>
      <c r="P316">
        <v>315</v>
      </c>
      <c r="Q316" s="1">
        <v>152443500000000</v>
      </c>
      <c r="R316" s="4">
        <v>1290000000</v>
      </c>
      <c r="S316">
        <f>ROUND(1.02^A316,2)</f>
        <v>511.75</v>
      </c>
      <c r="T316" t="str">
        <f t="shared" si="40"/>
        <v>315,152443500000000,1290000000,511,75</v>
      </c>
    </row>
    <row r="317" spans="1:20" x14ac:dyDescent="0.25">
      <c r="A317">
        <f t="shared" si="49"/>
        <v>316</v>
      </c>
      <c r="B317" s="1">
        <v>155019000000000</v>
      </c>
      <c r="C317" s="1">
        <v>2575500000000</v>
      </c>
      <c r="E317" s="1">
        <f>+S317*10000</f>
        <v>5219800</v>
      </c>
      <c r="F317" s="1">
        <f t="shared" si="42"/>
        <v>497566.95658837503</v>
      </c>
      <c r="G317" s="1">
        <f t="shared" si="43"/>
        <v>248783.47829418752</v>
      </c>
      <c r="H317" s="1">
        <f t="shared" si="44"/>
        <v>99513.391317675007</v>
      </c>
      <c r="I317" s="1">
        <f t="shared" si="45"/>
        <v>49756.695658837503</v>
      </c>
      <c r="J317" s="1">
        <f t="shared" si="46"/>
        <v>33171.130439225002</v>
      </c>
      <c r="K317" s="1">
        <f t="shared" si="47"/>
        <v>16585.565219612501</v>
      </c>
      <c r="L317" s="1">
        <f t="shared" si="48"/>
        <v>4975.6695658837507</v>
      </c>
      <c r="M317" s="4">
        <f t="shared" si="41"/>
        <v>1300000000</v>
      </c>
      <c r="N317" s="4"/>
      <c r="O317" s="8"/>
      <c r="P317">
        <v>316</v>
      </c>
      <c r="Q317" s="1">
        <v>155019000000000</v>
      </c>
      <c r="R317" s="4">
        <v>1300000000</v>
      </c>
      <c r="S317">
        <f>ROUND(1.02^A317,2)</f>
        <v>521.98</v>
      </c>
      <c r="T317" t="str">
        <f t="shared" si="40"/>
        <v>316,155019000000000,1300000000,521,98</v>
      </c>
    </row>
    <row r="318" spans="1:20" x14ac:dyDescent="0.25">
      <c r="A318">
        <f t="shared" si="49"/>
        <v>317</v>
      </c>
      <c r="B318" s="1">
        <v>157616200000000</v>
      </c>
      <c r="C318" s="1">
        <v>2597200000000</v>
      </c>
      <c r="E318" s="1">
        <f>+S318*10000</f>
        <v>5324200</v>
      </c>
      <c r="F318" s="1">
        <f t="shared" si="42"/>
        <v>491886.10495473497</v>
      </c>
      <c r="G318" s="1">
        <f t="shared" si="43"/>
        <v>245943.05247736748</v>
      </c>
      <c r="H318" s="1">
        <f t="shared" si="44"/>
        <v>98377.220990946997</v>
      </c>
      <c r="I318" s="1">
        <f t="shared" si="45"/>
        <v>49188.610495473498</v>
      </c>
      <c r="J318" s="1">
        <f t="shared" si="46"/>
        <v>32792.406996982332</v>
      </c>
      <c r="K318" s="1">
        <f t="shared" si="47"/>
        <v>16396.203498491166</v>
      </c>
      <c r="L318" s="1">
        <f t="shared" si="48"/>
        <v>4918.8610495473495</v>
      </c>
      <c r="M318" s="4">
        <f t="shared" si="41"/>
        <v>1310000000</v>
      </c>
      <c r="N318" s="4"/>
      <c r="O318" s="8"/>
      <c r="P318">
        <v>317</v>
      </c>
      <c r="Q318" s="1">
        <v>157616200000000</v>
      </c>
      <c r="R318" s="4">
        <v>1310000000</v>
      </c>
      <c r="S318">
        <f>ROUND(1.02^A318,2)</f>
        <v>532.41999999999996</v>
      </c>
      <c r="T318" t="str">
        <f t="shared" si="40"/>
        <v>317,157616200000000,1310000000,532,42</v>
      </c>
    </row>
    <row r="319" spans="1:20" x14ac:dyDescent="0.25">
      <c r="A319">
        <f t="shared" si="49"/>
        <v>318</v>
      </c>
      <c r="B319" s="1">
        <v>160235100000000</v>
      </c>
      <c r="C319" s="1">
        <v>2618900000000</v>
      </c>
      <c r="E319" s="1">
        <f>+S319*10000</f>
        <v>5430700.0000000009</v>
      </c>
      <c r="F319" s="1">
        <f t="shared" si="42"/>
        <v>486235.66022796318</v>
      </c>
      <c r="G319" s="1">
        <f t="shared" si="43"/>
        <v>243117.83011398159</v>
      </c>
      <c r="H319" s="1">
        <f t="shared" si="44"/>
        <v>97247.132045592632</v>
      </c>
      <c r="I319" s="1">
        <f t="shared" si="45"/>
        <v>48623.566022796316</v>
      </c>
      <c r="J319" s="1">
        <f t="shared" si="46"/>
        <v>32415.71068186421</v>
      </c>
      <c r="K319" s="1">
        <f t="shared" si="47"/>
        <v>16207.855340932105</v>
      </c>
      <c r="L319" s="1">
        <f t="shared" si="48"/>
        <v>4862.3566022796313</v>
      </c>
      <c r="M319" s="4">
        <f t="shared" si="41"/>
        <v>1320000000</v>
      </c>
      <c r="N319" s="4"/>
      <c r="O319" s="8"/>
      <c r="P319">
        <v>318</v>
      </c>
      <c r="Q319" s="1">
        <v>160235100000000</v>
      </c>
      <c r="R319" s="4">
        <v>1320000000</v>
      </c>
      <c r="S319">
        <f>ROUND(1.02^A319,2)</f>
        <v>543.07000000000005</v>
      </c>
      <c r="T319" t="str">
        <f t="shared" si="40"/>
        <v>318,160235100000000,1320000000,543,07</v>
      </c>
    </row>
    <row r="320" spans="1:20" x14ac:dyDescent="0.25">
      <c r="A320">
        <f t="shared" si="49"/>
        <v>319</v>
      </c>
      <c r="B320" s="1">
        <v>162875700000000</v>
      </c>
      <c r="C320" s="1">
        <v>2640600000000</v>
      </c>
      <c r="E320" s="1">
        <f>+S320*10000</f>
        <v>5539299.9999999991</v>
      </c>
      <c r="F320" s="1">
        <f t="shared" si="42"/>
        <v>480620.29498312069</v>
      </c>
      <c r="G320" s="1">
        <f t="shared" si="43"/>
        <v>240310.14749156035</v>
      </c>
      <c r="H320" s="1">
        <f t="shared" si="44"/>
        <v>96124.058996624139</v>
      </c>
      <c r="I320" s="1">
        <f t="shared" si="45"/>
        <v>48062.029498312069</v>
      </c>
      <c r="J320" s="1">
        <f t="shared" si="46"/>
        <v>32041.352998874714</v>
      </c>
      <c r="K320" s="1">
        <f t="shared" si="47"/>
        <v>16020.676499437357</v>
      </c>
      <c r="L320" s="1">
        <f t="shared" si="48"/>
        <v>4806.2029498312068</v>
      </c>
      <c r="M320" s="4">
        <f t="shared" si="41"/>
        <v>1330000000</v>
      </c>
      <c r="N320" s="4"/>
      <c r="O320" s="8"/>
      <c r="P320">
        <v>319</v>
      </c>
      <c r="Q320" s="1">
        <v>162875700000000</v>
      </c>
      <c r="R320" s="4">
        <v>1330000000</v>
      </c>
      <c r="S320">
        <f>ROUND(1.02^A320,2)</f>
        <v>553.92999999999995</v>
      </c>
      <c r="T320" t="str">
        <f t="shared" si="40"/>
        <v>319,162875700000000,1330000000,553,93</v>
      </c>
    </row>
    <row r="321" spans="1:20" x14ac:dyDescent="0.25">
      <c r="A321">
        <f t="shared" si="49"/>
        <v>320</v>
      </c>
      <c r="B321" s="1">
        <v>165538000000000</v>
      </c>
      <c r="C321" s="1">
        <v>2662300000000</v>
      </c>
      <c r="E321" s="1">
        <f>+S321*10000</f>
        <v>5650100</v>
      </c>
      <c r="F321" s="1">
        <f t="shared" si="42"/>
        <v>475035.84007362701</v>
      </c>
      <c r="G321" s="1">
        <f t="shared" si="43"/>
        <v>237517.92003681351</v>
      </c>
      <c r="H321" s="1">
        <f t="shared" si="44"/>
        <v>95007.168014725408</v>
      </c>
      <c r="I321" s="1">
        <f t="shared" si="45"/>
        <v>47503.584007362704</v>
      </c>
      <c r="J321" s="1">
        <f t="shared" si="46"/>
        <v>31669.056004908467</v>
      </c>
      <c r="K321" s="1">
        <f t="shared" si="47"/>
        <v>15834.528002454234</v>
      </c>
      <c r="L321" s="1">
        <f t="shared" si="48"/>
        <v>4750.3584007362706</v>
      </c>
      <c r="M321" s="4">
        <f t="shared" si="41"/>
        <v>1340000000</v>
      </c>
      <c r="N321" s="4"/>
      <c r="O321" s="8"/>
      <c r="P321">
        <v>320</v>
      </c>
      <c r="Q321" s="1">
        <v>165538000000000</v>
      </c>
      <c r="R321" s="4">
        <v>1340000000</v>
      </c>
      <c r="S321">
        <f>ROUND(1.02^A321,2)</f>
        <v>565.01</v>
      </c>
      <c r="T321" t="str">
        <f t="shared" si="40"/>
        <v>320,165538000000000,1340000000,565,01</v>
      </c>
    </row>
    <row r="322" spans="1:20" x14ac:dyDescent="0.25">
      <c r="A322">
        <f t="shared" si="49"/>
        <v>321</v>
      </c>
      <c r="B322" s="1">
        <v>168222000000000</v>
      </c>
      <c r="C322" s="1">
        <v>2684000000000</v>
      </c>
      <c r="E322" s="1">
        <f>+S322*10000</f>
        <v>5763099.9999999991</v>
      </c>
      <c r="F322" s="1">
        <f t="shared" si="42"/>
        <v>469486.90808766126</v>
      </c>
      <c r="G322" s="1">
        <f t="shared" si="43"/>
        <v>234743.45404383063</v>
      </c>
      <c r="H322" s="1">
        <f t="shared" si="44"/>
        <v>93897.381617532243</v>
      </c>
      <c r="I322" s="1">
        <f t="shared" si="45"/>
        <v>46948.690808766121</v>
      </c>
      <c r="J322" s="1">
        <f t="shared" si="46"/>
        <v>31299.127205844081</v>
      </c>
      <c r="K322" s="1">
        <f t="shared" si="47"/>
        <v>15649.56360292204</v>
      </c>
      <c r="L322" s="1">
        <f t="shared" si="48"/>
        <v>4694.8690808766123</v>
      </c>
      <c r="M322" s="4">
        <f t="shared" si="41"/>
        <v>1350000000</v>
      </c>
      <c r="N322" s="4"/>
      <c r="O322" s="8"/>
      <c r="P322">
        <v>321</v>
      </c>
      <c r="Q322" s="1">
        <v>168222000000000</v>
      </c>
      <c r="R322" s="4">
        <v>1350000000</v>
      </c>
      <c r="S322">
        <f>ROUND(1.02^A322,2)</f>
        <v>576.30999999999995</v>
      </c>
      <c r="T322" t="str">
        <f t="shared" ref="T322:T385" si="50">P322&amp;","&amp;Q322&amp;","&amp;R322&amp;","&amp;S322</f>
        <v>321,168222000000000,1350000000,576,31</v>
      </c>
    </row>
    <row r="323" spans="1:20" x14ac:dyDescent="0.25">
      <c r="A323">
        <f t="shared" si="49"/>
        <v>322</v>
      </c>
      <c r="B323" s="1">
        <v>170927700000000</v>
      </c>
      <c r="C323" s="1">
        <v>2705700000000</v>
      </c>
      <c r="E323" s="1">
        <f>+S323*10000</f>
        <v>5878300</v>
      </c>
      <c r="F323" s="1">
        <f t="shared" si="42"/>
        <v>463977.6806219485</v>
      </c>
      <c r="G323" s="1">
        <f t="shared" si="43"/>
        <v>231988.84031097425</v>
      </c>
      <c r="H323" s="1">
        <f t="shared" si="44"/>
        <v>92795.536124389706</v>
      </c>
      <c r="I323" s="1">
        <f t="shared" si="45"/>
        <v>46397.768062194853</v>
      </c>
      <c r="J323" s="1">
        <f t="shared" si="46"/>
        <v>30931.845374796569</v>
      </c>
      <c r="K323" s="1">
        <f t="shared" si="47"/>
        <v>15465.922687398284</v>
      </c>
      <c r="L323" s="1">
        <f t="shared" si="48"/>
        <v>4639.7768062194855</v>
      </c>
      <c r="M323" s="4">
        <f t="shared" ref="M323:M386" si="51">ROUND(MAX(E324*6.3*10%,C324*0.05%),-MAX(2,INT(LOG10(MAX(E324*6.3*10%,C324*0.05%)))-2))</f>
        <v>1360000000</v>
      </c>
      <c r="N323" s="4"/>
      <c r="O323" s="8"/>
      <c r="P323">
        <v>322</v>
      </c>
      <c r="Q323" s="1">
        <v>170927700000000</v>
      </c>
      <c r="R323" s="4">
        <v>1360000000</v>
      </c>
      <c r="S323">
        <f>ROUND(1.02^A323,2)</f>
        <v>587.83000000000004</v>
      </c>
      <c r="T323" t="str">
        <f t="shared" si="50"/>
        <v>322,170927700000000,1360000000,587,83</v>
      </c>
    </row>
    <row r="324" spans="1:20" x14ac:dyDescent="0.25">
      <c r="A324">
        <f t="shared" si="49"/>
        <v>323</v>
      </c>
      <c r="B324" s="1">
        <v>173655100000000</v>
      </c>
      <c r="C324" s="1">
        <v>2727400000000</v>
      </c>
      <c r="E324" s="1">
        <f>+S324*10000</f>
        <v>5995900</v>
      </c>
      <c r="F324" s="1">
        <f t="shared" ref="F324:F387" si="52">$C325/($E324*1)</f>
        <v>458496.63937023631</v>
      </c>
      <c r="G324" s="1">
        <f t="shared" ref="G324:G387" si="53">$C325/($E324*2)</f>
        <v>229248.31968511816</v>
      </c>
      <c r="H324" s="1">
        <f t="shared" ref="H324:H387" si="54">$C325/($E324*5)</f>
        <v>91699.32787404726</v>
      </c>
      <c r="I324" s="1">
        <f t="shared" ref="I324:I387" si="55">$C325/($E324*10)</f>
        <v>45849.66393702363</v>
      </c>
      <c r="J324" s="1">
        <f t="shared" ref="J324:J387" si="56">$C325/($E324*15)</f>
        <v>30566.442624682422</v>
      </c>
      <c r="K324" s="1">
        <f t="shared" ref="K324:K387" si="57">$C325/($E324*30)</f>
        <v>15283.221312341211</v>
      </c>
      <c r="L324" s="1">
        <f t="shared" ref="L324:L387" si="58">$C325/($E324*100)</f>
        <v>4584.9663937023633</v>
      </c>
      <c r="M324" s="4">
        <f t="shared" si="51"/>
        <v>1370000000</v>
      </c>
      <c r="N324" s="4"/>
      <c r="O324" s="8"/>
      <c r="P324">
        <v>323</v>
      </c>
      <c r="Q324" s="1">
        <v>173655100000000</v>
      </c>
      <c r="R324" s="4">
        <v>1370000000</v>
      </c>
      <c r="S324">
        <f>ROUND(1.02^A324,2)</f>
        <v>599.59</v>
      </c>
      <c r="T324" t="str">
        <f t="shared" si="50"/>
        <v>323,173655100000000,1370000000,599,59</v>
      </c>
    </row>
    <row r="325" spans="1:20" x14ac:dyDescent="0.25">
      <c r="A325">
        <f t="shared" ref="A325:A388" si="59">+A324+1</f>
        <v>324</v>
      </c>
      <c r="B325" s="1">
        <v>176404200000000</v>
      </c>
      <c r="C325" s="1">
        <v>2749100000000</v>
      </c>
      <c r="E325" s="1">
        <f>+S325*10000</f>
        <v>6115800</v>
      </c>
      <c r="F325" s="1">
        <f t="shared" si="52"/>
        <v>453056.01883645641</v>
      </c>
      <c r="G325" s="1">
        <f t="shared" si="53"/>
        <v>226528.0094182282</v>
      </c>
      <c r="H325" s="1">
        <f t="shared" si="54"/>
        <v>90611.203767291285</v>
      </c>
      <c r="I325" s="1">
        <f t="shared" si="55"/>
        <v>45305.601883645642</v>
      </c>
      <c r="J325" s="1">
        <f t="shared" si="56"/>
        <v>30203.734589097094</v>
      </c>
      <c r="K325" s="1">
        <f t="shared" si="57"/>
        <v>15101.867294548547</v>
      </c>
      <c r="L325" s="1">
        <f t="shared" si="58"/>
        <v>4530.5601883645641</v>
      </c>
      <c r="M325" s="4">
        <f t="shared" si="51"/>
        <v>1390000000</v>
      </c>
      <c r="N325" s="4"/>
      <c r="O325" s="8"/>
      <c r="P325">
        <v>324</v>
      </c>
      <c r="Q325" s="1">
        <v>176404200000000</v>
      </c>
      <c r="R325" s="4">
        <v>1390000000</v>
      </c>
      <c r="S325">
        <f>ROUND(1.02^A325,2)</f>
        <v>611.58000000000004</v>
      </c>
      <c r="T325" t="str">
        <f t="shared" si="50"/>
        <v>324,176404200000000,1390000000,611,58</v>
      </c>
    </row>
    <row r="326" spans="1:20" x14ac:dyDescent="0.25">
      <c r="A326">
        <f t="shared" si="59"/>
        <v>325</v>
      </c>
      <c r="B326" s="1">
        <v>179175000000000</v>
      </c>
      <c r="C326" s="1">
        <v>2770800000000</v>
      </c>
      <c r="E326" s="1">
        <f>+S326*10000</f>
        <v>6238200.0000000009</v>
      </c>
      <c r="F326" s="1">
        <f t="shared" si="52"/>
        <v>447645.15405084792</v>
      </c>
      <c r="G326" s="1">
        <f t="shared" si="53"/>
        <v>223822.57702542396</v>
      </c>
      <c r="H326" s="1">
        <f t="shared" si="54"/>
        <v>89529.030810169585</v>
      </c>
      <c r="I326" s="1">
        <f t="shared" si="55"/>
        <v>44764.515405084792</v>
      </c>
      <c r="J326" s="1">
        <f t="shared" si="56"/>
        <v>29843.010270056529</v>
      </c>
      <c r="K326" s="1">
        <f t="shared" si="57"/>
        <v>14921.505135028265</v>
      </c>
      <c r="L326" s="1">
        <f t="shared" si="58"/>
        <v>4476.4515405084794</v>
      </c>
      <c r="M326" s="4">
        <f t="shared" si="51"/>
        <v>1400000000</v>
      </c>
      <c r="N326" s="4"/>
      <c r="O326" s="8"/>
      <c r="P326">
        <v>325</v>
      </c>
      <c r="Q326" s="1">
        <v>179175000000000</v>
      </c>
      <c r="R326" s="4">
        <v>1400000000</v>
      </c>
      <c r="S326">
        <f>ROUND(1.02^A326,2)</f>
        <v>623.82000000000005</v>
      </c>
      <c r="T326" t="str">
        <f t="shared" si="50"/>
        <v>325,179175000000000,1400000000,623,82</v>
      </c>
    </row>
    <row r="327" spans="1:20" x14ac:dyDescent="0.25">
      <c r="A327">
        <f t="shared" si="59"/>
        <v>326</v>
      </c>
      <c r="B327" s="1">
        <v>181967500000000</v>
      </c>
      <c r="C327" s="1">
        <v>2792500000000</v>
      </c>
      <c r="E327" s="1">
        <f>+S327*10000</f>
        <v>6362900</v>
      </c>
      <c r="F327" s="1">
        <f t="shared" si="52"/>
        <v>442282.60698737996</v>
      </c>
      <c r="G327" s="1">
        <f t="shared" si="53"/>
        <v>221141.30349368998</v>
      </c>
      <c r="H327" s="1">
        <f t="shared" si="54"/>
        <v>88456.521397475997</v>
      </c>
      <c r="I327" s="1">
        <f t="shared" si="55"/>
        <v>44228.260698737999</v>
      </c>
      <c r="J327" s="1">
        <f t="shared" si="56"/>
        <v>29485.507132491999</v>
      </c>
      <c r="K327" s="1">
        <f t="shared" si="57"/>
        <v>14742.753566246</v>
      </c>
      <c r="L327" s="1">
        <f t="shared" si="58"/>
        <v>4422.8260698737995</v>
      </c>
      <c r="M327" s="4">
        <f t="shared" si="51"/>
        <v>1410000000</v>
      </c>
      <c r="N327" s="4"/>
      <c r="O327" s="8"/>
      <c r="P327">
        <v>326</v>
      </c>
      <c r="Q327" s="1">
        <v>181967500000000</v>
      </c>
      <c r="R327" s="4">
        <v>1410000000</v>
      </c>
      <c r="S327">
        <f>ROUND(1.02^A327,2)</f>
        <v>636.29</v>
      </c>
      <c r="T327" t="str">
        <f t="shared" si="50"/>
        <v>326,181967500000000,1410000000,636,29</v>
      </c>
    </row>
    <row r="328" spans="1:20" x14ac:dyDescent="0.25">
      <c r="A328">
        <f t="shared" si="59"/>
        <v>327</v>
      </c>
      <c r="B328" s="1">
        <v>184781700000000</v>
      </c>
      <c r="C328" s="1">
        <v>2814200000000</v>
      </c>
      <c r="E328" s="1">
        <f>+S328*10000</f>
        <v>6490200</v>
      </c>
      <c r="F328" s="1">
        <f t="shared" si="52"/>
        <v>436951.09549782751</v>
      </c>
      <c r="G328" s="1">
        <f t="shared" si="53"/>
        <v>218475.54774891376</v>
      </c>
      <c r="H328" s="1">
        <f t="shared" si="54"/>
        <v>87390.219099565496</v>
      </c>
      <c r="I328" s="1">
        <f t="shared" si="55"/>
        <v>43695.109549782748</v>
      </c>
      <c r="J328" s="1">
        <f t="shared" si="56"/>
        <v>29130.073033188499</v>
      </c>
      <c r="K328" s="1">
        <f t="shared" si="57"/>
        <v>14565.036516594249</v>
      </c>
      <c r="L328" s="1">
        <f t="shared" si="58"/>
        <v>4369.5109549782746</v>
      </c>
      <c r="M328" s="4">
        <f t="shared" si="51"/>
        <v>1420000000</v>
      </c>
      <c r="N328" s="4"/>
      <c r="O328" s="8"/>
      <c r="P328">
        <v>327</v>
      </c>
      <c r="Q328" s="1">
        <v>184781700000000</v>
      </c>
      <c r="R328" s="4">
        <v>1420000000</v>
      </c>
      <c r="S328">
        <f>ROUND(1.02^A328,2)</f>
        <v>649.02</v>
      </c>
      <c r="T328" t="str">
        <f t="shared" si="50"/>
        <v>327,184781700000000,1420000000,649,02</v>
      </c>
    </row>
    <row r="329" spans="1:20" x14ac:dyDescent="0.25">
      <c r="A329">
        <f t="shared" si="59"/>
        <v>328</v>
      </c>
      <c r="B329" s="1">
        <v>187617600000000</v>
      </c>
      <c r="C329" s="1">
        <v>2835900000000</v>
      </c>
      <c r="E329" s="1">
        <f>+S329*10000</f>
        <v>6620000</v>
      </c>
      <c r="F329" s="1">
        <f t="shared" si="52"/>
        <v>431661.63141993957</v>
      </c>
      <c r="G329" s="1">
        <f t="shared" si="53"/>
        <v>215830.81570996979</v>
      </c>
      <c r="H329" s="1">
        <f t="shared" si="54"/>
        <v>86332.326283987917</v>
      </c>
      <c r="I329" s="1">
        <f t="shared" si="55"/>
        <v>43166.163141993959</v>
      </c>
      <c r="J329" s="1">
        <f t="shared" si="56"/>
        <v>28777.442094662638</v>
      </c>
      <c r="K329" s="1">
        <f t="shared" si="57"/>
        <v>14388.721047331319</v>
      </c>
      <c r="L329" s="1">
        <f t="shared" si="58"/>
        <v>4316.6163141993957</v>
      </c>
      <c r="M329" s="4">
        <f t="shared" si="51"/>
        <v>1430000000</v>
      </c>
      <c r="N329" s="4"/>
      <c r="O329" s="8"/>
      <c r="P329">
        <v>328</v>
      </c>
      <c r="Q329" s="1">
        <v>187617600000000</v>
      </c>
      <c r="R329" s="4">
        <v>1430000000</v>
      </c>
      <c r="S329">
        <f>ROUND(1.02^A329,2)</f>
        <v>662</v>
      </c>
      <c r="T329" t="str">
        <f t="shared" si="50"/>
        <v>328,187617600000000,1430000000,662</v>
      </c>
    </row>
    <row r="330" spans="1:20" x14ac:dyDescent="0.25">
      <c r="A330">
        <f t="shared" si="59"/>
        <v>329</v>
      </c>
      <c r="B330" s="1">
        <v>190475200000000</v>
      </c>
      <c r="C330" s="1">
        <v>2857600000000</v>
      </c>
      <c r="E330" s="1">
        <f>+S330*10000</f>
        <v>6752400</v>
      </c>
      <c r="F330" s="1">
        <f t="shared" si="52"/>
        <v>426411.35003850481</v>
      </c>
      <c r="G330" s="1">
        <f t="shared" si="53"/>
        <v>213205.67501925241</v>
      </c>
      <c r="H330" s="1">
        <f t="shared" si="54"/>
        <v>85282.270007700965</v>
      </c>
      <c r="I330" s="1">
        <f t="shared" si="55"/>
        <v>42641.135003850482</v>
      </c>
      <c r="J330" s="1">
        <f t="shared" si="56"/>
        <v>28427.423335900323</v>
      </c>
      <c r="K330" s="1">
        <f t="shared" si="57"/>
        <v>14213.711667950161</v>
      </c>
      <c r="L330" s="1">
        <f t="shared" si="58"/>
        <v>4264.1135003850486</v>
      </c>
      <c r="M330" s="4">
        <f t="shared" si="51"/>
        <v>1440000000</v>
      </c>
      <c r="N330" s="4"/>
      <c r="O330" s="8"/>
      <c r="P330">
        <v>329</v>
      </c>
      <c r="Q330" s="1">
        <v>190475200000000</v>
      </c>
      <c r="R330" s="4">
        <v>1440000000</v>
      </c>
      <c r="S330">
        <f>ROUND(1.02^A330,2)</f>
        <v>675.24</v>
      </c>
      <c r="T330" t="str">
        <f t="shared" si="50"/>
        <v>329,190475200000000,1440000000,675,24</v>
      </c>
    </row>
    <row r="331" spans="1:20" x14ac:dyDescent="0.25">
      <c r="A331">
        <f t="shared" si="59"/>
        <v>330</v>
      </c>
      <c r="B331" s="1">
        <v>193354500000000</v>
      </c>
      <c r="C331" s="1">
        <v>2879300000000</v>
      </c>
      <c r="E331" s="1">
        <f>+S331*10000</f>
        <v>6887400</v>
      </c>
      <c r="F331" s="1">
        <f t="shared" si="52"/>
        <v>421203.93762522866</v>
      </c>
      <c r="G331" s="1">
        <f t="shared" si="53"/>
        <v>210601.96881261433</v>
      </c>
      <c r="H331" s="1">
        <f t="shared" si="54"/>
        <v>84240.787525045729</v>
      </c>
      <c r="I331" s="1">
        <f t="shared" si="55"/>
        <v>42120.393762522865</v>
      </c>
      <c r="J331" s="1">
        <f t="shared" si="56"/>
        <v>28080.26250834858</v>
      </c>
      <c r="K331" s="1">
        <f t="shared" si="57"/>
        <v>14040.13125417429</v>
      </c>
      <c r="L331" s="1">
        <f t="shared" si="58"/>
        <v>4212.0393762522872</v>
      </c>
      <c r="M331" s="4">
        <f t="shared" si="51"/>
        <v>1450000000</v>
      </c>
      <c r="N331" s="4"/>
      <c r="O331" s="8"/>
      <c r="P331">
        <v>330</v>
      </c>
      <c r="Q331" s="1">
        <v>193354500000000</v>
      </c>
      <c r="R331" s="4">
        <v>1450000000</v>
      </c>
      <c r="S331">
        <f>ROUND(1.02^A331,2)</f>
        <v>688.74</v>
      </c>
      <c r="T331" t="str">
        <f t="shared" si="50"/>
        <v>330,193354500000000,1450000000,688,74</v>
      </c>
    </row>
    <row r="332" spans="1:20" x14ac:dyDescent="0.25">
      <c r="A332">
        <f t="shared" si="59"/>
        <v>331</v>
      </c>
      <c r="B332" s="1">
        <v>196255500000000</v>
      </c>
      <c r="C332" s="1">
        <v>2901000000000</v>
      </c>
      <c r="E332" s="1">
        <f>+S332*10000</f>
        <v>7025200</v>
      </c>
      <c r="F332" s="1">
        <f t="shared" si="52"/>
        <v>416030.86033137847</v>
      </c>
      <c r="G332" s="1">
        <f t="shared" si="53"/>
        <v>208015.43016568923</v>
      </c>
      <c r="H332" s="1">
        <f t="shared" si="54"/>
        <v>83206.1720662757</v>
      </c>
      <c r="I332" s="1">
        <f t="shared" si="55"/>
        <v>41603.08603313785</v>
      </c>
      <c r="J332" s="1">
        <f t="shared" si="56"/>
        <v>27735.390688758565</v>
      </c>
      <c r="K332" s="1">
        <f t="shared" si="57"/>
        <v>13867.695344379283</v>
      </c>
      <c r="L332" s="1">
        <f t="shared" si="58"/>
        <v>4160.3086033137843</v>
      </c>
      <c r="M332" s="4">
        <f t="shared" si="51"/>
        <v>1460000000</v>
      </c>
      <c r="N332" s="4"/>
      <c r="O332" s="8"/>
      <c r="P332">
        <v>331</v>
      </c>
      <c r="Q332" s="1">
        <v>196255500000000</v>
      </c>
      <c r="R332" s="4">
        <v>1460000000</v>
      </c>
      <c r="S332">
        <f>ROUND(1.02^A332,2)</f>
        <v>702.52</v>
      </c>
      <c r="T332" t="str">
        <f t="shared" si="50"/>
        <v>331,196255500000000,1460000000,702,52</v>
      </c>
    </row>
    <row r="333" spans="1:20" x14ac:dyDescent="0.25">
      <c r="A333">
        <f t="shared" si="59"/>
        <v>332</v>
      </c>
      <c r="B333" s="1">
        <v>199178200000000</v>
      </c>
      <c r="C333" s="1">
        <v>2922700000000</v>
      </c>
      <c r="E333" s="1">
        <f>+S333*10000</f>
        <v>7165700.0000000009</v>
      </c>
      <c r="F333" s="1">
        <f t="shared" si="52"/>
        <v>410901.93560991943</v>
      </c>
      <c r="G333" s="1">
        <f t="shared" si="53"/>
        <v>205450.96780495971</v>
      </c>
      <c r="H333" s="1">
        <f t="shared" si="54"/>
        <v>82180.387121983877</v>
      </c>
      <c r="I333" s="1">
        <f t="shared" si="55"/>
        <v>41090.193560991938</v>
      </c>
      <c r="J333" s="1">
        <f t="shared" si="56"/>
        <v>27393.462373994629</v>
      </c>
      <c r="K333" s="1">
        <f t="shared" si="57"/>
        <v>13696.731186997315</v>
      </c>
      <c r="L333" s="1">
        <f t="shared" si="58"/>
        <v>4109.0193560991938</v>
      </c>
      <c r="M333" s="4">
        <f t="shared" si="51"/>
        <v>1470000000</v>
      </c>
      <c r="N333" s="4"/>
      <c r="O333" s="8"/>
      <c r="P333">
        <v>332</v>
      </c>
      <c r="Q333" s="1">
        <v>199178200000000</v>
      </c>
      <c r="R333" s="4">
        <v>1470000000</v>
      </c>
      <c r="S333">
        <f>ROUND(1.02^A333,2)</f>
        <v>716.57</v>
      </c>
      <c r="T333" t="str">
        <f t="shared" si="50"/>
        <v>332,199178200000000,1470000000,716,57</v>
      </c>
    </row>
    <row r="334" spans="1:20" x14ac:dyDescent="0.25">
      <c r="A334">
        <f t="shared" si="59"/>
        <v>333</v>
      </c>
      <c r="B334" s="1">
        <v>202122600000000</v>
      </c>
      <c r="C334" s="1">
        <v>2944400000000</v>
      </c>
      <c r="E334" s="1">
        <f>+S334*10000</f>
        <v>7309000</v>
      </c>
      <c r="F334" s="1">
        <f t="shared" si="52"/>
        <v>405814.7489396634</v>
      </c>
      <c r="G334" s="1">
        <f t="shared" si="53"/>
        <v>202907.3744698317</v>
      </c>
      <c r="H334" s="1">
        <f t="shared" si="54"/>
        <v>81162.949787932681</v>
      </c>
      <c r="I334" s="1">
        <f t="shared" si="55"/>
        <v>40581.47489396634</v>
      </c>
      <c r="J334" s="1">
        <f t="shared" si="56"/>
        <v>27054.316595977562</v>
      </c>
      <c r="K334" s="1">
        <f t="shared" si="57"/>
        <v>13527.158297988781</v>
      </c>
      <c r="L334" s="1">
        <f t="shared" si="58"/>
        <v>4058.1474893966342</v>
      </c>
      <c r="M334" s="4">
        <f t="shared" si="51"/>
        <v>1480000000</v>
      </c>
      <c r="N334" s="4"/>
      <c r="O334" s="8"/>
      <c r="P334">
        <v>333</v>
      </c>
      <c r="Q334" s="1">
        <v>202122600000000</v>
      </c>
      <c r="R334" s="4">
        <v>1480000000</v>
      </c>
      <c r="S334">
        <f>ROUND(1.02^A334,2)</f>
        <v>730.9</v>
      </c>
      <c r="T334" t="str">
        <f t="shared" si="50"/>
        <v>333,202122600000000,1480000000,730,9</v>
      </c>
    </row>
    <row r="335" spans="1:20" x14ac:dyDescent="0.25">
      <c r="A335">
        <f t="shared" si="59"/>
        <v>334</v>
      </c>
      <c r="B335" s="1">
        <v>205088700000000</v>
      </c>
      <c r="C335" s="1">
        <v>2966100000000</v>
      </c>
      <c r="E335" s="1">
        <f>+S335*10000</f>
        <v>7455200</v>
      </c>
      <c r="F335" s="1">
        <f t="shared" si="52"/>
        <v>400767.24970490398</v>
      </c>
      <c r="G335" s="1">
        <f t="shared" si="53"/>
        <v>200383.62485245199</v>
      </c>
      <c r="H335" s="1">
        <f t="shared" si="54"/>
        <v>80153.44994098079</v>
      </c>
      <c r="I335" s="1">
        <f t="shared" si="55"/>
        <v>40076.724970490395</v>
      </c>
      <c r="J335" s="1">
        <f t="shared" si="56"/>
        <v>26717.816646993597</v>
      </c>
      <c r="K335" s="1">
        <f t="shared" si="57"/>
        <v>13358.908323496798</v>
      </c>
      <c r="L335" s="1">
        <f t="shared" si="58"/>
        <v>4007.6724970490395</v>
      </c>
      <c r="M335" s="4">
        <f t="shared" si="51"/>
        <v>1490000000</v>
      </c>
      <c r="N335" s="4"/>
      <c r="O335" s="8"/>
      <c r="P335">
        <v>334</v>
      </c>
      <c r="Q335" s="1">
        <v>205088700000000</v>
      </c>
      <c r="R335" s="4">
        <v>1490000000</v>
      </c>
      <c r="S335">
        <f>ROUND(1.02^A335,2)</f>
        <v>745.52</v>
      </c>
      <c r="T335" t="str">
        <f t="shared" si="50"/>
        <v>334,205088700000000,1490000000,745,52</v>
      </c>
    </row>
    <row r="336" spans="1:20" x14ac:dyDescent="0.25">
      <c r="A336">
        <f t="shared" si="59"/>
        <v>335</v>
      </c>
      <c r="B336" s="1">
        <v>208076500000000</v>
      </c>
      <c r="C336" s="1">
        <v>2987800000000</v>
      </c>
      <c r="E336" s="1">
        <f>+S336*10000</f>
        <v>7604299.9999999991</v>
      </c>
      <c r="F336" s="1">
        <f t="shared" si="52"/>
        <v>395762.92360901076</v>
      </c>
      <c r="G336" s="1">
        <f t="shared" si="53"/>
        <v>197881.46180450538</v>
      </c>
      <c r="H336" s="1">
        <f t="shared" si="54"/>
        <v>79152.584721802152</v>
      </c>
      <c r="I336" s="1">
        <f t="shared" si="55"/>
        <v>39576.292360901076</v>
      </c>
      <c r="J336" s="1">
        <f t="shared" si="56"/>
        <v>26384.194907267381</v>
      </c>
      <c r="K336" s="1">
        <f t="shared" si="57"/>
        <v>13192.097453633691</v>
      </c>
      <c r="L336" s="1">
        <f t="shared" si="58"/>
        <v>3957.6292360901075</v>
      </c>
      <c r="M336" s="4">
        <f t="shared" si="51"/>
        <v>1500000000</v>
      </c>
      <c r="N336" s="4"/>
      <c r="O336" s="8"/>
      <c r="P336">
        <v>335</v>
      </c>
      <c r="Q336" s="1">
        <v>208076500000000</v>
      </c>
      <c r="R336" s="4">
        <v>1500000000</v>
      </c>
      <c r="S336">
        <f>ROUND(1.02^A336,2)</f>
        <v>760.43</v>
      </c>
      <c r="T336" t="str">
        <f t="shared" si="50"/>
        <v>335,208076500000000,1500000000,760,43</v>
      </c>
    </row>
    <row r="337" spans="1:20" x14ac:dyDescent="0.25">
      <c r="A337">
        <f t="shared" si="59"/>
        <v>336</v>
      </c>
      <c r="B337" s="1">
        <v>211086000000000</v>
      </c>
      <c r="C337" s="1">
        <v>3009500000000</v>
      </c>
      <c r="E337" s="1">
        <f>+S337*10000</f>
        <v>7756400</v>
      </c>
      <c r="F337" s="1">
        <f t="shared" si="52"/>
        <v>390799.85560311482</v>
      </c>
      <c r="G337" s="1">
        <f t="shared" si="53"/>
        <v>195399.92780155741</v>
      </c>
      <c r="H337" s="1">
        <f t="shared" si="54"/>
        <v>78159.971120622969</v>
      </c>
      <c r="I337" s="1">
        <f t="shared" si="55"/>
        <v>39079.985560311485</v>
      </c>
      <c r="J337" s="1">
        <f t="shared" si="56"/>
        <v>26053.323706874322</v>
      </c>
      <c r="K337" s="1">
        <f t="shared" si="57"/>
        <v>13026.661853437161</v>
      </c>
      <c r="L337" s="1">
        <f t="shared" si="58"/>
        <v>3907.9985560311484</v>
      </c>
      <c r="M337" s="4">
        <f t="shared" si="51"/>
        <v>1520000000</v>
      </c>
      <c r="N337" s="4"/>
      <c r="O337" s="8"/>
      <c r="P337">
        <v>336</v>
      </c>
      <c r="Q337" s="1">
        <v>211086000000000</v>
      </c>
      <c r="R337" s="4">
        <v>1520000000</v>
      </c>
      <c r="S337">
        <f>ROUND(1.02^A337,2)</f>
        <v>775.64</v>
      </c>
      <c r="T337" t="str">
        <f t="shared" si="50"/>
        <v>336,211086000000000,1520000000,775,64</v>
      </c>
    </row>
    <row r="338" spans="1:20" x14ac:dyDescent="0.25">
      <c r="A338">
        <f t="shared" si="59"/>
        <v>337</v>
      </c>
      <c r="B338" s="1">
        <v>214117200000000</v>
      </c>
      <c r="C338" s="1">
        <v>3031200000000</v>
      </c>
      <c r="E338" s="1">
        <f>+S338*10000</f>
        <v>7911500</v>
      </c>
      <c r="F338" s="1">
        <f t="shared" si="52"/>
        <v>385881.3120141566</v>
      </c>
      <c r="G338" s="1">
        <f t="shared" si="53"/>
        <v>192940.6560070783</v>
      </c>
      <c r="H338" s="1">
        <f t="shared" si="54"/>
        <v>77176.262402831315</v>
      </c>
      <c r="I338" s="1">
        <f t="shared" si="55"/>
        <v>38588.131201415657</v>
      </c>
      <c r="J338" s="1">
        <f t="shared" si="56"/>
        <v>25725.420800943775</v>
      </c>
      <c r="K338" s="1">
        <f t="shared" si="57"/>
        <v>12862.710400471888</v>
      </c>
      <c r="L338" s="1">
        <f t="shared" si="58"/>
        <v>3858.8131201415663</v>
      </c>
      <c r="M338" s="4">
        <f t="shared" si="51"/>
        <v>1530000000</v>
      </c>
      <c r="N338" s="4"/>
      <c r="O338" s="8"/>
      <c r="P338">
        <v>337</v>
      </c>
      <c r="Q338" s="1">
        <v>214117200000000</v>
      </c>
      <c r="R338" s="4">
        <v>1530000000</v>
      </c>
      <c r="S338">
        <f>ROUND(1.02^A338,2)</f>
        <v>791.15</v>
      </c>
      <c r="T338" t="str">
        <f t="shared" si="50"/>
        <v>337,214117200000000,1530000000,791,15</v>
      </c>
    </row>
    <row r="339" spans="1:20" x14ac:dyDescent="0.25">
      <c r="A339">
        <f t="shared" si="59"/>
        <v>338</v>
      </c>
      <c r="B339" s="1">
        <v>217170100000000</v>
      </c>
      <c r="C339" s="1">
        <v>3052900000000</v>
      </c>
      <c r="E339" s="1">
        <f>+S339*10000</f>
        <v>8069700</v>
      </c>
      <c r="F339" s="1">
        <f t="shared" si="52"/>
        <v>381005.48967123934</v>
      </c>
      <c r="G339" s="1">
        <f t="shared" si="53"/>
        <v>190502.74483561967</v>
      </c>
      <c r="H339" s="1">
        <f t="shared" si="54"/>
        <v>76201.097934247868</v>
      </c>
      <c r="I339" s="1">
        <f t="shared" si="55"/>
        <v>38100.548967123934</v>
      </c>
      <c r="J339" s="1">
        <f t="shared" si="56"/>
        <v>25400.36597808262</v>
      </c>
      <c r="K339" s="1">
        <f t="shared" si="57"/>
        <v>12700.18298904131</v>
      </c>
      <c r="L339" s="1">
        <f t="shared" si="58"/>
        <v>3810.0548967123932</v>
      </c>
      <c r="M339" s="4">
        <f t="shared" si="51"/>
        <v>1540000000</v>
      </c>
      <c r="N339" s="4"/>
      <c r="O339" s="8"/>
      <c r="P339">
        <v>338</v>
      </c>
      <c r="Q339" s="1">
        <v>217170100000000</v>
      </c>
      <c r="R339" s="4">
        <v>1540000000</v>
      </c>
      <c r="S339">
        <f>ROUND(1.02^A339,2)</f>
        <v>806.97</v>
      </c>
      <c r="T339" t="str">
        <f t="shared" si="50"/>
        <v>338,217170100000000,1540000000,806,97</v>
      </c>
    </row>
    <row r="340" spans="1:20" x14ac:dyDescent="0.25">
      <c r="A340">
        <f t="shared" si="59"/>
        <v>339</v>
      </c>
      <c r="B340" s="1">
        <v>220244700000000</v>
      </c>
      <c r="C340" s="1">
        <v>3074600000000</v>
      </c>
      <c r="E340" s="1">
        <f>+S340*10000</f>
        <v>8231100</v>
      </c>
      <c r="F340" s="1">
        <f t="shared" si="52"/>
        <v>376170.86416153371</v>
      </c>
      <c r="G340" s="1">
        <f t="shared" si="53"/>
        <v>188085.43208076686</v>
      </c>
      <c r="H340" s="1">
        <f t="shared" si="54"/>
        <v>75234.172832306736</v>
      </c>
      <c r="I340" s="1">
        <f t="shared" si="55"/>
        <v>37617.086416153368</v>
      </c>
      <c r="J340" s="1">
        <f t="shared" si="56"/>
        <v>25078.057610768912</v>
      </c>
      <c r="K340" s="1">
        <f t="shared" si="57"/>
        <v>12539.028805384456</v>
      </c>
      <c r="L340" s="1">
        <f t="shared" si="58"/>
        <v>3761.708641615337</v>
      </c>
      <c r="M340" s="4">
        <f t="shared" si="51"/>
        <v>1550000000</v>
      </c>
      <c r="N340" s="4"/>
      <c r="O340" s="8"/>
      <c r="P340">
        <v>339</v>
      </c>
      <c r="Q340" s="1">
        <v>220244700000000</v>
      </c>
      <c r="R340" s="4">
        <v>1550000000</v>
      </c>
      <c r="S340">
        <f>ROUND(1.02^A340,2)</f>
        <v>823.11</v>
      </c>
      <c r="T340" t="str">
        <f t="shared" si="50"/>
        <v>339,220244700000000,1550000000,823,11</v>
      </c>
    </row>
    <row r="341" spans="1:20" x14ac:dyDescent="0.25">
      <c r="A341">
        <f t="shared" si="59"/>
        <v>340</v>
      </c>
      <c r="B341" s="1">
        <v>223341000000000</v>
      </c>
      <c r="C341" s="1">
        <v>3096300000000</v>
      </c>
      <c r="E341" s="1">
        <f>+S341*10000</f>
        <v>8395700</v>
      </c>
      <c r="F341" s="1">
        <f t="shared" si="52"/>
        <v>371380.58768178948</v>
      </c>
      <c r="G341" s="1">
        <f t="shared" si="53"/>
        <v>185690.29384089474</v>
      </c>
      <c r="H341" s="1">
        <f t="shared" si="54"/>
        <v>74276.117536357895</v>
      </c>
      <c r="I341" s="1">
        <f t="shared" si="55"/>
        <v>37138.058768178948</v>
      </c>
      <c r="J341" s="1">
        <f t="shared" si="56"/>
        <v>24758.705845452634</v>
      </c>
      <c r="K341" s="1">
        <f t="shared" si="57"/>
        <v>12379.352922726317</v>
      </c>
      <c r="L341" s="1">
        <f t="shared" si="58"/>
        <v>3713.8058768178948</v>
      </c>
      <c r="M341" s="4">
        <f t="shared" si="51"/>
        <v>1560000000</v>
      </c>
      <c r="N341" s="4"/>
      <c r="O341" s="8"/>
      <c r="P341">
        <v>340</v>
      </c>
      <c r="Q341" s="1">
        <v>223341000000000</v>
      </c>
      <c r="R341" s="4">
        <v>1560000000</v>
      </c>
      <c r="S341">
        <f>ROUND(1.02^A341,2)</f>
        <v>839.57</v>
      </c>
      <c r="T341" t="str">
        <f t="shared" si="50"/>
        <v>340,223341000000000,1560000000,839,57</v>
      </c>
    </row>
    <row r="342" spans="1:20" x14ac:dyDescent="0.25">
      <c r="A342">
        <f t="shared" si="59"/>
        <v>341</v>
      </c>
      <c r="B342" s="1">
        <v>226459000000000</v>
      </c>
      <c r="C342" s="1">
        <v>3118000000000</v>
      </c>
      <c r="E342" s="1">
        <f>+S342*10000</f>
        <v>8563600</v>
      </c>
      <c r="F342" s="1">
        <f t="shared" si="52"/>
        <v>366633.19164837216</v>
      </c>
      <c r="G342" s="1">
        <f t="shared" si="53"/>
        <v>183316.59582418608</v>
      </c>
      <c r="H342" s="1">
        <f t="shared" si="54"/>
        <v>73326.638329674432</v>
      </c>
      <c r="I342" s="1">
        <f t="shared" si="55"/>
        <v>36663.319164837216</v>
      </c>
      <c r="J342" s="1">
        <f t="shared" si="56"/>
        <v>24442.212776558146</v>
      </c>
      <c r="K342" s="1">
        <f t="shared" si="57"/>
        <v>12221.106388279073</v>
      </c>
      <c r="L342" s="1">
        <f t="shared" si="58"/>
        <v>3666.3319164837217</v>
      </c>
      <c r="M342" s="4">
        <f t="shared" si="51"/>
        <v>1570000000</v>
      </c>
      <c r="N342" s="4"/>
      <c r="O342" s="8"/>
      <c r="P342">
        <v>341</v>
      </c>
      <c r="Q342" s="1">
        <v>226459000000000</v>
      </c>
      <c r="R342" s="4">
        <v>1570000000</v>
      </c>
      <c r="S342">
        <f>ROUND(1.02^A342,2)</f>
        <v>856.36</v>
      </c>
      <c r="T342" t="str">
        <f t="shared" si="50"/>
        <v>341,226459000000000,1570000000,856,36</v>
      </c>
    </row>
    <row r="343" spans="1:20" x14ac:dyDescent="0.25">
      <c r="A343">
        <f t="shared" si="59"/>
        <v>342</v>
      </c>
      <c r="B343" s="1">
        <v>229598700000000</v>
      </c>
      <c r="C343" s="1">
        <v>3139700000000</v>
      </c>
      <c r="E343" s="1">
        <f>+S343*10000</f>
        <v>8734900</v>
      </c>
      <c r="F343" s="1">
        <f t="shared" si="52"/>
        <v>361927.44049731537</v>
      </c>
      <c r="G343" s="1">
        <f t="shared" si="53"/>
        <v>180963.72024865769</v>
      </c>
      <c r="H343" s="1">
        <f t="shared" si="54"/>
        <v>72385.48809946308</v>
      </c>
      <c r="I343" s="1">
        <f t="shared" si="55"/>
        <v>36192.74404973154</v>
      </c>
      <c r="J343" s="1">
        <f t="shared" si="56"/>
        <v>24128.496033154359</v>
      </c>
      <c r="K343" s="1">
        <f t="shared" si="57"/>
        <v>12064.248016577179</v>
      </c>
      <c r="L343" s="1">
        <f t="shared" si="58"/>
        <v>3619.2744049731537</v>
      </c>
      <c r="M343" s="4">
        <f t="shared" si="51"/>
        <v>1580000000</v>
      </c>
      <c r="N343" s="4"/>
      <c r="O343" s="8"/>
      <c r="P343">
        <v>342</v>
      </c>
      <c r="Q343" s="1">
        <v>229598700000000</v>
      </c>
      <c r="R343" s="4">
        <v>1580000000</v>
      </c>
      <c r="S343">
        <f>ROUND(1.02^A343,2)</f>
        <v>873.49</v>
      </c>
      <c r="T343" t="str">
        <f t="shared" si="50"/>
        <v>342,229598700000000,1580000000,873,49</v>
      </c>
    </row>
    <row r="344" spans="1:20" x14ac:dyDescent="0.25">
      <c r="A344">
        <f t="shared" si="59"/>
        <v>343</v>
      </c>
      <c r="B344" s="1">
        <v>232760100000000</v>
      </c>
      <c r="C344" s="1">
        <v>3161400000000</v>
      </c>
      <c r="E344" s="1">
        <f>+S344*10000</f>
        <v>8909600</v>
      </c>
      <c r="F344" s="1">
        <f t="shared" si="52"/>
        <v>357266.3194756218</v>
      </c>
      <c r="G344" s="1">
        <f t="shared" si="53"/>
        <v>178633.1597378109</v>
      </c>
      <c r="H344" s="1">
        <f t="shared" si="54"/>
        <v>71453.263895124357</v>
      </c>
      <c r="I344" s="1">
        <f t="shared" si="55"/>
        <v>35726.631947562179</v>
      </c>
      <c r="J344" s="1">
        <f t="shared" si="56"/>
        <v>23817.754631708121</v>
      </c>
      <c r="K344" s="1">
        <f t="shared" si="57"/>
        <v>11908.877315854061</v>
      </c>
      <c r="L344" s="1">
        <f t="shared" si="58"/>
        <v>3572.6631947562182</v>
      </c>
      <c r="M344" s="4">
        <f t="shared" si="51"/>
        <v>1590000000</v>
      </c>
      <c r="N344" s="4"/>
      <c r="O344" s="8"/>
      <c r="P344">
        <v>343</v>
      </c>
      <c r="Q344" s="1">
        <v>232760100000000</v>
      </c>
      <c r="R344" s="4">
        <v>1590000000</v>
      </c>
      <c r="S344">
        <f>ROUND(1.02^A344,2)</f>
        <v>890.96</v>
      </c>
      <c r="T344" t="str">
        <f t="shared" si="50"/>
        <v>343,232760100000000,1590000000,890,96</v>
      </c>
    </row>
    <row r="345" spans="1:20" x14ac:dyDescent="0.25">
      <c r="A345">
        <f t="shared" si="59"/>
        <v>344</v>
      </c>
      <c r="B345" s="1">
        <v>235943200000000</v>
      </c>
      <c r="C345" s="1">
        <v>3183100000000</v>
      </c>
      <c r="E345" s="1">
        <f>+S345*10000</f>
        <v>9087800</v>
      </c>
      <c r="F345" s="1">
        <f t="shared" si="52"/>
        <v>352648.60582319152</v>
      </c>
      <c r="G345" s="1">
        <f t="shared" si="53"/>
        <v>176324.30291159576</v>
      </c>
      <c r="H345" s="1">
        <f t="shared" si="54"/>
        <v>70529.721164638308</v>
      </c>
      <c r="I345" s="1">
        <f t="shared" si="55"/>
        <v>35264.860582319154</v>
      </c>
      <c r="J345" s="1">
        <f t="shared" si="56"/>
        <v>23509.907054879437</v>
      </c>
      <c r="K345" s="1">
        <f t="shared" si="57"/>
        <v>11754.953527439719</v>
      </c>
      <c r="L345" s="1">
        <f t="shared" si="58"/>
        <v>3526.4860582319152</v>
      </c>
      <c r="M345" s="4">
        <f t="shared" si="51"/>
        <v>1600000000</v>
      </c>
      <c r="N345" s="4"/>
      <c r="O345" s="8"/>
      <c r="P345">
        <v>344</v>
      </c>
      <c r="Q345" s="1">
        <v>235943200000000</v>
      </c>
      <c r="R345" s="4">
        <v>1600000000</v>
      </c>
      <c r="S345">
        <f>ROUND(1.02^A345,2)</f>
        <v>908.78</v>
      </c>
      <c r="T345" t="str">
        <f t="shared" si="50"/>
        <v>344,235943200000000,1600000000,908,78</v>
      </c>
    </row>
    <row r="346" spans="1:20" x14ac:dyDescent="0.25">
      <c r="A346">
        <f t="shared" si="59"/>
        <v>345</v>
      </c>
      <c r="B346" s="1">
        <v>239148000000000</v>
      </c>
      <c r="C346" s="1">
        <v>3204800000000</v>
      </c>
      <c r="E346" s="1">
        <f>+S346*10000</f>
        <v>9269600</v>
      </c>
      <c r="F346" s="1">
        <f t="shared" si="52"/>
        <v>348073.27177008719</v>
      </c>
      <c r="G346" s="1">
        <f t="shared" si="53"/>
        <v>174036.63588504359</v>
      </c>
      <c r="H346" s="1">
        <f t="shared" si="54"/>
        <v>69614.654354017432</v>
      </c>
      <c r="I346" s="1">
        <f t="shared" si="55"/>
        <v>34807.327177008716</v>
      </c>
      <c r="J346" s="1">
        <f t="shared" si="56"/>
        <v>23204.884784672478</v>
      </c>
      <c r="K346" s="1">
        <f t="shared" si="57"/>
        <v>11602.442392336239</v>
      </c>
      <c r="L346" s="1">
        <f t="shared" si="58"/>
        <v>3480.7327177008715</v>
      </c>
      <c r="M346" s="4">
        <f t="shared" si="51"/>
        <v>1610000000</v>
      </c>
      <c r="N346" s="4"/>
      <c r="O346" s="8"/>
      <c r="P346">
        <v>345</v>
      </c>
      <c r="Q346" s="1">
        <v>239148000000000</v>
      </c>
      <c r="R346" s="4">
        <v>1610000000</v>
      </c>
      <c r="S346">
        <f>ROUND(1.02^A346,2)</f>
        <v>926.96</v>
      </c>
      <c r="T346" t="str">
        <f t="shared" si="50"/>
        <v>345,239148000000000,1610000000,926,96</v>
      </c>
    </row>
    <row r="347" spans="1:20" x14ac:dyDescent="0.25">
      <c r="A347">
        <f t="shared" si="59"/>
        <v>346</v>
      </c>
      <c r="B347" s="1">
        <v>242374500000000</v>
      </c>
      <c r="C347" s="1">
        <v>3226500000000</v>
      </c>
      <c r="E347" s="1">
        <f>+S347*10000</f>
        <v>9455000</v>
      </c>
      <c r="F347" s="1">
        <f t="shared" si="52"/>
        <v>343543.09888947645</v>
      </c>
      <c r="G347" s="1">
        <f t="shared" si="53"/>
        <v>171771.54944473822</v>
      </c>
      <c r="H347" s="1">
        <f t="shared" si="54"/>
        <v>68708.619777895292</v>
      </c>
      <c r="I347" s="1">
        <f t="shared" si="55"/>
        <v>34354.309888947646</v>
      </c>
      <c r="J347" s="1">
        <f t="shared" si="56"/>
        <v>22902.873259298431</v>
      </c>
      <c r="K347" s="1">
        <f t="shared" si="57"/>
        <v>11451.436629649215</v>
      </c>
      <c r="L347" s="1">
        <f t="shared" si="58"/>
        <v>3435.4309888947646</v>
      </c>
      <c r="M347" s="4">
        <f t="shared" si="51"/>
        <v>1620000000</v>
      </c>
      <c r="N347" s="4"/>
      <c r="O347" s="8"/>
      <c r="P347">
        <v>346</v>
      </c>
      <c r="Q347" s="1">
        <v>242374500000000</v>
      </c>
      <c r="R347" s="4">
        <v>1620000000</v>
      </c>
      <c r="S347">
        <f>ROUND(1.02^A347,2)</f>
        <v>945.5</v>
      </c>
      <c r="T347" t="str">
        <f t="shared" si="50"/>
        <v>346,242374500000000,1620000000,945,5</v>
      </c>
    </row>
    <row r="348" spans="1:20" x14ac:dyDescent="0.25">
      <c r="A348">
        <f t="shared" si="59"/>
        <v>347</v>
      </c>
      <c r="B348" s="1">
        <v>245622700000000</v>
      </c>
      <c r="C348" s="1">
        <v>3248200000000</v>
      </c>
      <c r="E348" s="1">
        <f>+S348*10000</f>
        <v>9644100</v>
      </c>
      <c r="F348" s="1">
        <f t="shared" si="52"/>
        <v>339057.04005557805</v>
      </c>
      <c r="G348" s="1">
        <f t="shared" si="53"/>
        <v>169528.52002778903</v>
      </c>
      <c r="H348" s="1">
        <f t="shared" si="54"/>
        <v>67811.408011115607</v>
      </c>
      <c r="I348" s="1">
        <f t="shared" si="55"/>
        <v>33905.704005557804</v>
      </c>
      <c r="J348" s="1">
        <f t="shared" si="56"/>
        <v>22603.802670371868</v>
      </c>
      <c r="K348" s="1">
        <f t="shared" si="57"/>
        <v>11301.901335185934</v>
      </c>
      <c r="L348" s="1">
        <f t="shared" si="58"/>
        <v>3390.57040055578</v>
      </c>
      <c r="M348" s="4">
        <f t="shared" si="51"/>
        <v>1630000000</v>
      </c>
      <c r="N348" s="4"/>
      <c r="O348" s="8"/>
      <c r="P348">
        <v>347</v>
      </c>
      <c r="Q348" s="1">
        <v>245622700000000</v>
      </c>
      <c r="R348" s="4">
        <v>1630000000</v>
      </c>
      <c r="S348">
        <f>ROUND(1.02^A348,2)</f>
        <v>964.41</v>
      </c>
      <c r="T348" t="str">
        <f t="shared" si="50"/>
        <v>347,245622700000000,1630000000,964,41</v>
      </c>
    </row>
    <row r="349" spans="1:20" x14ac:dyDescent="0.25">
      <c r="A349">
        <f t="shared" si="59"/>
        <v>348</v>
      </c>
      <c r="B349" s="1">
        <v>248892600000000</v>
      </c>
      <c r="C349" s="1">
        <v>3269900000000</v>
      </c>
      <c r="E349" s="1">
        <f>+S349*10000</f>
        <v>9836900</v>
      </c>
      <c r="F349" s="1">
        <f t="shared" si="52"/>
        <v>334617.61327247403</v>
      </c>
      <c r="G349" s="1">
        <f t="shared" si="53"/>
        <v>167308.80663623702</v>
      </c>
      <c r="H349" s="1">
        <f t="shared" si="54"/>
        <v>66923.522654494809</v>
      </c>
      <c r="I349" s="1">
        <f t="shared" si="55"/>
        <v>33461.761327247405</v>
      </c>
      <c r="J349" s="1">
        <f t="shared" si="56"/>
        <v>22307.840884831603</v>
      </c>
      <c r="K349" s="1">
        <f t="shared" si="57"/>
        <v>11153.920442415802</v>
      </c>
      <c r="L349" s="1">
        <f t="shared" si="58"/>
        <v>3346.1761327247405</v>
      </c>
      <c r="M349" s="4">
        <f t="shared" si="51"/>
        <v>1650000000</v>
      </c>
      <c r="N349" s="4"/>
      <c r="O349" s="8"/>
      <c r="P349">
        <v>348</v>
      </c>
      <c r="Q349" s="1">
        <v>248892600000000</v>
      </c>
      <c r="R349" s="4">
        <v>1650000000</v>
      </c>
      <c r="S349">
        <f>ROUND(1.02^A349,2)</f>
        <v>983.69</v>
      </c>
      <c r="T349" t="str">
        <f t="shared" si="50"/>
        <v>348,248892600000000,1650000000,983,69</v>
      </c>
    </row>
    <row r="350" spans="1:20" x14ac:dyDescent="0.25">
      <c r="A350">
        <f t="shared" si="59"/>
        <v>349</v>
      </c>
      <c r="B350" s="1">
        <v>252184200000000</v>
      </c>
      <c r="C350" s="1">
        <v>3291600000000</v>
      </c>
      <c r="E350" s="1">
        <f>+S350*10000</f>
        <v>10033700</v>
      </c>
      <c r="F350" s="1">
        <f t="shared" si="52"/>
        <v>330217.16814335686</v>
      </c>
      <c r="G350" s="1">
        <f t="shared" si="53"/>
        <v>165108.58407167843</v>
      </c>
      <c r="H350" s="1">
        <f t="shared" si="54"/>
        <v>66043.433628671381</v>
      </c>
      <c r="I350" s="1">
        <f t="shared" si="55"/>
        <v>33021.71681433569</v>
      </c>
      <c r="J350" s="1">
        <f t="shared" si="56"/>
        <v>22014.477876223791</v>
      </c>
      <c r="K350" s="1">
        <f t="shared" si="57"/>
        <v>11007.238938111896</v>
      </c>
      <c r="L350" s="1">
        <f t="shared" si="58"/>
        <v>3302.1716814335687</v>
      </c>
      <c r="M350" s="4">
        <f t="shared" si="51"/>
        <v>1660000000</v>
      </c>
      <c r="N350" s="4"/>
      <c r="O350" s="8"/>
      <c r="P350">
        <v>349</v>
      </c>
      <c r="Q350" s="1">
        <v>252184200000000</v>
      </c>
      <c r="R350" s="4">
        <v>1660000000</v>
      </c>
      <c r="S350">
        <f>ROUND(1.02^A350,2)</f>
        <v>1003.37</v>
      </c>
      <c r="T350" t="str">
        <f t="shared" si="50"/>
        <v>349,252184200000000,1660000000,1003,37</v>
      </c>
    </row>
    <row r="351" spans="1:20" x14ac:dyDescent="0.25">
      <c r="A351">
        <f t="shared" si="59"/>
        <v>350</v>
      </c>
      <c r="B351" s="1">
        <v>255497500000000</v>
      </c>
      <c r="C351" s="1">
        <v>3313300000000</v>
      </c>
      <c r="E351" s="1">
        <f>+S351*10000</f>
        <v>10234300</v>
      </c>
      <c r="F351" s="1">
        <f t="shared" si="52"/>
        <v>325864.98343804659</v>
      </c>
      <c r="G351" s="1">
        <f t="shared" si="53"/>
        <v>162932.4917190233</v>
      </c>
      <c r="H351" s="1">
        <f t="shared" si="54"/>
        <v>65172.996687609317</v>
      </c>
      <c r="I351" s="1">
        <f t="shared" si="55"/>
        <v>32586.498343804658</v>
      </c>
      <c r="J351" s="1">
        <f t="shared" si="56"/>
        <v>21724.332229203104</v>
      </c>
      <c r="K351" s="1">
        <f t="shared" si="57"/>
        <v>10862.166114601552</v>
      </c>
      <c r="L351" s="1">
        <f t="shared" si="58"/>
        <v>3258.6498343804656</v>
      </c>
      <c r="M351" s="4">
        <f t="shared" si="51"/>
        <v>1670000000</v>
      </c>
      <c r="N351" s="4"/>
      <c r="O351" s="8"/>
      <c r="P351">
        <v>350</v>
      </c>
      <c r="Q351" s="1">
        <v>255497500000000</v>
      </c>
      <c r="R351" s="4">
        <v>1670000000</v>
      </c>
      <c r="S351">
        <f>ROUND(1.02^A351,2)</f>
        <v>1023.43</v>
      </c>
      <c r="T351" t="str">
        <f t="shared" si="50"/>
        <v>350,255497500000000,1670000000,1023,43</v>
      </c>
    </row>
    <row r="352" spans="1:20" x14ac:dyDescent="0.25">
      <c r="A352">
        <f t="shared" si="59"/>
        <v>351</v>
      </c>
      <c r="B352" s="1">
        <v>258832500000000</v>
      </c>
      <c r="C352" s="1">
        <v>3335000000000</v>
      </c>
      <c r="E352" s="1">
        <f>+S352*10000</f>
        <v>10439000</v>
      </c>
      <c r="F352" s="1">
        <f t="shared" si="52"/>
        <v>321553.78867707634</v>
      </c>
      <c r="G352" s="1">
        <f t="shared" si="53"/>
        <v>160776.89433853817</v>
      </c>
      <c r="H352" s="1">
        <f t="shared" si="54"/>
        <v>64310.757735415267</v>
      </c>
      <c r="I352" s="1">
        <f t="shared" si="55"/>
        <v>32155.378867707634</v>
      </c>
      <c r="J352" s="1">
        <f t="shared" si="56"/>
        <v>21436.919245138422</v>
      </c>
      <c r="K352" s="1">
        <f t="shared" si="57"/>
        <v>10718.459622569211</v>
      </c>
      <c r="L352" s="1">
        <f t="shared" si="58"/>
        <v>3215.5378867707636</v>
      </c>
      <c r="M352" s="4">
        <f t="shared" si="51"/>
        <v>1680000000</v>
      </c>
      <c r="N352" s="4"/>
      <c r="O352" s="8"/>
      <c r="P352">
        <v>351</v>
      </c>
      <c r="Q352" s="1">
        <v>258832500000000</v>
      </c>
      <c r="R352" s="4">
        <v>1680000000</v>
      </c>
      <c r="S352">
        <f>ROUND(1.02^A352,2)</f>
        <v>1043.9000000000001</v>
      </c>
      <c r="T352" t="str">
        <f t="shared" si="50"/>
        <v>351,258832500000000,1680000000,1043,9</v>
      </c>
    </row>
    <row r="353" spans="1:20" x14ac:dyDescent="0.25">
      <c r="A353">
        <f t="shared" si="59"/>
        <v>352</v>
      </c>
      <c r="B353" s="1">
        <v>262189200000000</v>
      </c>
      <c r="C353" s="1">
        <v>3356700000000</v>
      </c>
      <c r="E353" s="1">
        <f>+S353*10000</f>
        <v>10647800</v>
      </c>
      <c r="F353" s="1">
        <f t="shared" si="52"/>
        <v>317286.19996619021</v>
      </c>
      <c r="G353" s="1">
        <f t="shared" si="53"/>
        <v>158643.0999830951</v>
      </c>
      <c r="H353" s="1">
        <f t="shared" si="54"/>
        <v>63457.239993238043</v>
      </c>
      <c r="I353" s="1">
        <f t="shared" si="55"/>
        <v>31728.619996619022</v>
      </c>
      <c r="J353" s="1">
        <f t="shared" si="56"/>
        <v>21152.413331079348</v>
      </c>
      <c r="K353" s="1">
        <f t="shared" si="57"/>
        <v>10576.206665539674</v>
      </c>
      <c r="L353" s="1">
        <f t="shared" si="58"/>
        <v>3172.8619996619018</v>
      </c>
      <c r="M353" s="4">
        <f t="shared" si="51"/>
        <v>1690000000</v>
      </c>
      <c r="N353" s="4"/>
      <c r="O353" s="8"/>
      <c r="P353">
        <v>352</v>
      </c>
      <c r="Q353" s="1">
        <v>262189200000000</v>
      </c>
      <c r="R353" s="4">
        <v>1690000000</v>
      </c>
      <c r="S353">
        <f>ROUND(1.02^A353,2)</f>
        <v>1064.78</v>
      </c>
      <c r="T353" t="str">
        <f t="shared" si="50"/>
        <v>352,262189200000000,1690000000,1064,78</v>
      </c>
    </row>
    <row r="354" spans="1:20" x14ac:dyDescent="0.25">
      <c r="A354">
        <f t="shared" si="59"/>
        <v>353</v>
      </c>
      <c r="B354" s="1">
        <v>265567600000000</v>
      </c>
      <c r="C354" s="1">
        <v>3378400000000</v>
      </c>
      <c r="E354" s="1">
        <f>+S354*10000</f>
        <v>10860800</v>
      </c>
      <c r="F354" s="1">
        <f t="shared" si="52"/>
        <v>313061.65291691222</v>
      </c>
      <c r="G354" s="1">
        <f t="shared" si="53"/>
        <v>156530.82645845611</v>
      </c>
      <c r="H354" s="1">
        <f t="shared" si="54"/>
        <v>62612.330583382442</v>
      </c>
      <c r="I354" s="1">
        <f t="shared" si="55"/>
        <v>31306.165291691221</v>
      </c>
      <c r="J354" s="1">
        <f t="shared" si="56"/>
        <v>20870.776861127481</v>
      </c>
      <c r="K354" s="1">
        <f t="shared" si="57"/>
        <v>10435.38843056374</v>
      </c>
      <c r="L354" s="1">
        <f t="shared" si="58"/>
        <v>3130.6165291691218</v>
      </c>
      <c r="M354" s="4">
        <f t="shared" si="51"/>
        <v>1700000000</v>
      </c>
      <c r="N354" s="4"/>
      <c r="O354" s="8"/>
      <c r="P354">
        <v>353</v>
      </c>
      <c r="Q354" s="1">
        <v>265567600000000</v>
      </c>
      <c r="R354" s="4">
        <v>1700000000</v>
      </c>
      <c r="S354">
        <f>ROUND(1.02^A354,2)</f>
        <v>1086.08</v>
      </c>
      <c r="T354" t="str">
        <f t="shared" si="50"/>
        <v>353,265567600000000,1700000000,1086,08</v>
      </c>
    </row>
    <row r="355" spans="1:20" x14ac:dyDescent="0.25">
      <c r="A355">
        <f t="shared" si="59"/>
        <v>354</v>
      </c>
      <c r="B355" s="1">
        <v>268967700000000</v>
      </c>
      <c r="C355" s="1">
        <v>3400100000000</v>
      </c>
      <c r="E355" s="1">
        <f>+S355*10000</f>
        <v>11078000</v>
      </c>
      <c r="F355" s="1">
        <f t="shared" si="52"/>
        <v>308882.46975988447</v>
      </c>
      <c r="G355" s="1">
        <f t="shared" si="53"/>
        <v>154441.23487994223</v>
      </c>
      <c r="H355" s="1">
        <f t="shared" si="54"/>
        <v>61776.493951976889</v>
      </c>
      <c r="I355" s="1">
        <f t="shared" si="55"/>
        <v>30888.246975988444</v>
      </c>
      <c r="J355" s="1">
        <f t="shared" si="56"/>
        <v>20592.164650658964</v>
      </c>
      <c r="K355" s="1">
        <f t="shared" si="57"/>
        <v>10296.082325329482</v>
      </c>
      <c r="L355" s="1">
        <f t="shared" si="58"/>
        <v>3088.8246975988445</v>
      </c>
      <c r="M355" s="4">
        <f t="shared" si="51"/>
        <v>1710000000</v>
      </c>
      <c r="N355" s="4"/>
      <c r="O355" s="8"/>
      <c r="P355">
        <v>354</v>
      </c>
      <c r="Q355" s="1">
        <v>268967700000000</v>
      </c>
      <c r="R355" s="4">
        <v>1710000000</v>
      </c>
      <c r="S355">
        <f>ROUND(1.02^A355,2)</f>
        <v>1107.8</v>
      </c>
      <c r="T355" t="str">
        <f t="shared" si="50"/>
        <v>354,268967700000000,1710000000,1107,8</v>
      </c>
    </row>
    <row r="356" spans="1:20" x14ac:dyDescent="0.25">
      <c r="A356">
        <f t="shared" si="59"/>
        <v>355</v>
      </c>
      <c r="B356" s="1">
        <v>272389500000000</v>
      </c>
      <c r="C356" s="1">
        <v>3421800000000</v>
      </c>
      <c r="E356" s="1">
        <f>+S356*10000</f>
        <v>11299500</v>
      </c>
      <c r="F356" s="1">
        <f t="shared" si="52"/>
        <v>304747.99769901321</v>
      </c>
      <c r="G356" s="1">
        <f t="shared" si="53"/>
        <v>152373.99884950661</v>
      </c>
      <c r="H356" s="1">
        <f t="shared" si="54"/>
        <v>60949.599539802643</v>
      </c>
      <c r="I356" s="1">
        <f t="shared" si="55"/>
        <v>30474.799769901321</v>
      </c>
      <c r="J356" s="1">
        <f t="shared" si="56"/>
        <v>20316.533179934217</v>
      </c>
      <c r="K356" s="1">
        <f t="shared" si="57"/>
        <v>10158.266589967108</v>
      </c>
      <c r="L356" s="1">
        <f t="shared" si="58"/>
        <v>3047.4799769901324</v>
      </c>
      <c r="M356" s="4">
        <f t="shared" si="51"/>
        <v>1720000000</v>
      </c>
      <c r="N356" s="4"/>
      <c r="O356" s="8"/>
      <c r="P356">
        <v>355</v>
      </c>
      <c r="Q356" s="1">
        <v>272389500000000</v>
      </c>
      <c r="R356" s="4">
        <v>1720000000</v>
      </c>
      <c r="S356">
        <f>ROUND(1.02^A356,2)</f>
        <v>1129.95</v>
      </c>
      <c r="T356" t="str">
        <f t="shared" si="50"/>
        <v>355,272389500000000,1720000000,1129,95</v>
      </c>
    </row>
    <row r="357" spans="1:20" x14ac:dyDescent="0.25">
      <c r="A357">
        <f t="shared" si="59"/>
        <v>356</v>
      </c>
      <c r="B357" s="1">
        <v>275833000000000</v>
      </c>
      <c r="C357" s="1">
        <v>3443500000000</v>
      </c>
      <c r="E357" s="1">
        <f>+S357*10000</f>
        <v>11525500</v>
      </c>
      <c r="F357" s="1">
        <f t="shared" si="52"/>
        <v>300655.06919439504</v>
      </c>
      <c r="G357" s="1">
        <f t="shared" si="53"/>
        <v>150327.53459719752</v>
      </c>
      <c r="H357" s="1">
        <f t="shared" si="54"/>
        <v>60131.013838879007</v>
      </c>
      <c r="I357" s="1">
        <f t="shared" si="55"/>
        <v>30065.506919439504</v>
      </c>
      <c r="J357" s="1">
        <f t="shared" si="56"/>
        <v>20043.671279626335</v>
      </c>
      <c r="K357" s="1">
        <f t="shared" si="57"/>
        <v>10021.835639813167</v>
      </c>
      <c r="L357" s="1">
        <f t="shared" si="58"/>
        <v>3006.5506919439504</v>
      </c>
      <c r="M357" s="4">
        <f t="shared" si="51"/>
        <v>1730000000</v>
      </c>
      <c r="N357" s="4"/>
      <c r="O357" s="8"/>
      <c r="P357">
        <v>356</v>
      </c>
      <c r="Q357" s="1">
        <v>275833000000000</v>
      </c>
      <c r="R357" s="4">
        <v>1730000000</v>
      </c>
      <c r="S357">
        <f>ROUND(1.02^A357,2)</f>
        <v>1152.55</v>
      </c>
      <c r="T357" t="str">
        <f t="shared" si="50"/>
        <v>356,275833000000000,1730000000,1152,55</v>
      </c>
    </row>
    <row r="358" spans="1:20" x14ac:dyDescent="0.25">
      <c r="A358">
        <f t="shared" si="59"/>
        <v>357</v>
      </c>
      <c r="B358" s="1">
        <v>279298200000000</v>
      </c>
      <c r="C358" s="1">
        <v>3465200000000</v>
      </c>
      <c r="E358" s="1">
        <f>+S358*10000</f>
        <v>11756000</v>
      </c>
      <c r="F358" s="1">
        <f t="shared" si="52"/>
        <v>296605.98843143927</v>
      </c>
      <c r="G358" s="1">
        <f t="shared" si="53"/>
        <v>148302.99421571963</v>
      </c>
      <c r="H358" s="1">
        <f t="shared" si="54"/>
        <v>59321.197686287851</v>
      </c>
      <c r="I358" s="1">
        <f t="shared" si="55"/>
        <v>29660.598843143925</v>
      </c>
      <c r="J358" s="1">
        <f t="shared" si="56"/>
        <v>19773.732562095953</v>
      </c>
      <c r="K358" s="1">
        <f t="shared" si="57"/>
        <v>9886.8662810479764</v>
      </c>
      <c r="L358" s="1">
        <f t="shared" si="58"/>
        <v>2966.0598843143925</v>
      </c>
      <c r="M358" s="4">
        <f t="shared" si="51"/>
        <v>1740000000</v>
      </c>
      <c r="N358" s="4"/>
      <c r="O358" s="8"/>
      <c r="P358">
        <v>357</v>
      </c>
      <c r="Q358" s="1">
        <v>279298200000000</v>
      </c>
      <c r="R358" s="4">
        <v>1740000000</v>
      </c>
      <c r="S358">
        <f>ROUND(1.02^A358,2)</f>
        <v>1175.5999999999999</v>
      </c>
      <c r="T358" t="str">
        <f t="shared" si="50"/>
        <v>357,279298200000000,1740000000,1175,6</v>
      </c>
    </row>
    <row r="359" spans="1:20" x14ac:dyDescent="0.25">
      <c r="A359">
        <f t="shared" si="59"/>
        <v>358</v>
      </c>
      <c r="B359" s="1">
        <v>282785100000000</v>
      </c>
      <c r="C359" s="1">
        <v>3486900000000</v>
      </c>
      <c r="E359" s="1">
        <f>+S359*10000</f>
        <v>11991199.999999998</v>
      </c>
      <c r="F359" s="1">
        <f t="shared" si="52"/>
        <v>292597.90513042902</v>
      </c>
      <c r="G359" s="1">
        <f t="shared" si="53"/>
        <v>146298.95256521451</v>
      </c>
      <c r="H359" s="1">
        <f t="shared" si="54"/>
        <v>58519.581026085805</v>
      </c>
      <c r="I359" s="1">
        <f t="shared" si="55"/>
        <v>29259.790513042903</v>
      </c>
      <c r="J359" s="1">
        <f t="shared" si="56"/>
        <v>19506.52700869527</v>
      </c>
      <c r="K359" s="1">
        <f t="shared" si="57"/>
        <v>9753.2635043476348</v>
      </c>
      <c r="L359" s="1">
        <f t="shared" si="58"/>
        <v>2925.9790513042904</v>
      </c>
      <c r="M359" s="4">
        <f t="shared" si="51"/>
        <v>1750000000</v>
      </c>
      <c r="N359" s="4"/>
      <c r="O359" s="8"/>
      <c r="P359">
        <v>358</v>
      </c>
      <c r="Q359" s="1">
        <v>282785100000000</v>
      </c>
      <c r="R359" s="4">
        <v>1750000000</v>
      </c>
      <c r="S359">
        <f>ROUND(1.02^A359,2)</f>
        <v>1199.1199999999999</v>
      </c>
      <c r="T359" t="str">
        <f t="shared" si="50"/>
        <v>358,282785100000000,1750000000,1199,12</v>
      </c>
    </row>
    <row r="360" spans="1:20" x14ac:dyDescent="0.25">
      <c r="A360">
        <f t="shared" si="59"/>
        <v>359</v>
      </c>
      <c r="B360" s="1">
        <v>286293700000000</v>
      </c>
      <c r="C360" s="1">
        <v>3508600000000</v>
      </c>
      <c r="E360" s="1">
        <f>+S360*10000</f>
        <v>12231000</v>
      </c>
      <c r="F360" s="1">
        <f t="shared" si="52"/>
        <v>288635.43455154932</v>
      </c>
      <c r="G360" s="1">
        <f t="shared" si="53"/>
        <v>144317.71727577466</v>
      </c>
      <c r="H360" s="1">
        <f t="shared" si="54"/>
        <v>57727.086910309867</v>
      </c>
      <c r="I360" s="1">
        <f t="shared" si="55"/>
        <v>28863.543455154933</v>
      </c>
      <c r="J360" s="1">
        <f t="shared" si="56"/>
        <v>19242.362303436621</v>
      </c>
      <c r="K360" s="1">
        <f t="shared" si="57"/>
        <v>9621.1811517183105</v>
      </c>
      <c r="L360" s="1">
        <f t="shared" si="58"/>
        <v>2886.3543455154936</v>
      </c>
      <c r="M360" s="4">
        <f t="shared" si="51"/>
        <v>1770000000</v>
      </c>
      <c r="N360" s="4"/>
      <c r="O360" s="8"/>
      <c r="P360">
        <v>359</v>
      </c>
      <c r="Q360" s="1">
        <v>286293700000000</v>
      </c>
      <c r="R360" s="4">
        <v>1770000000</v>
      </c>
      <c r="S360">
        <f>ROUND(1.02^A360,2)</f>
        <v>1223.0999999999999</v>
      </c>
      <c r="T360" t="str">
        <f t="shared" si="50"/>
        <v>359,286293700000000,1770000000,1223,1</v>
      </c>
    </row>
    <row r="361" spans="1:20" x14ac:dyDescent="0.25">
      <c r="A361">
        <f t="shared" si="59"/>
        <v>360</v>
      </c>
      <c r="B361" s="1">
        <v>289824000000000</v>
      </c>
      <c r="C361" s="1">
        <v>3530300000000</v>
      </c>
      <c r="E361" s="1">
        <f>+S361*10000</f>
        <v>12475600</v>
      </c>
      <c r="F361" s="1">
        <f t="shared" si="52"/>
        <v>284715.76517361891</v>
      </c>
      <c r="G361" s="1">
        <f t="shared" si="53"/>
        <v>142357.88258680946</v>
      </c>
      <c r="H361" s="1">
        <f t="shared" si="54"/>
        <v>56943.153034723779</v>
      </c>
      <c r="I361" s="1">
        <f t="shared" si="55"/>
        <v>28471.576517361889</v>
      </c>
      <c r="J361" s="1">
        <f t="shared" si="56"/>
        <v>18981.051011574593</v>
      </c>
      <c r="K361" s="1">
        <f t="shared" si="57"/>
        <v>9490.5255057872964</v>
      </c>
      <c r="L361" s="1">
        <f t="shared" si="58"/>
        <v>2847.1576517361891</v>
      </c>
      <c r="M361" s="4">
        <f t="shared" si="51"/>
        <v>1780000000</v>
      </c>
      <c r="N361" s="4"/>
      <c r="O361" s="8"/>
      <c r="P361">
        <v>360</v>
      </c>
      <c r="Q361" s="1">
        <v>289824000000000</v>
      </c>
      <c r="R361" s="4">
        <v>1780000000</v>
      </c>
      <c r="S361">
        <f>ROUND(1.02^A361,2)</f>
        <v>1247.56</v>
      </c>
      <c r="T361" t="str">
        <f t="shared" si="50"/>
        <v>360,289824000000000,1780000000,1247,56</v>
      </c>
    </row>
    <row r="362" spans="1:20" x14ac:dyDescent="0.25">
      <c r="A362">
        <f t="shared" si="59"/>
        <v>361</v>
      </c>
      <c r="B362" s="1">
        <v>293376000000000</v>
      </c>
      <c r="C362" s="1">
        <v>3552000000000</v>
      </c>
      <c r="E362" s="1">
        <f>+S362*10000</f>
        <v>12725100</v>
      </c>
      <c r="F362" s="1">
        <f t="shared" si="52"/>
        <v>280838.65745652292</v>
      </c>
      <c r="G362" s="1">
        <f t="shared" si="53"/>
        <v>140419.32872826146</v>
      </c>
      <c r="H362" s="1">
        <f t="shared" si="54"/>
        <v>56167.731491304585</v>
      </c>
      <c r="I362" s="1">
        <f t="shared" si="55"/>
        <v>28083.865745652292</v>
      </c>
      <c r="J362" s="1">
        <f t="shared" si="56"/>
        <v>18722.577163768197</v>
      </c>
      <c r="K362" s="1">
        <f t="shared" si="57"/>
        <v>9361.2885818840987</v>
      </c>
      <c r="L362" s="1">
        <f t="shared" si="58"/>
        <v>2808.3865745652292</v>
      </c>
      <c r="M362" s="4">
        <f t="shared" si="51"/>
        <v>1790000000</v>
      </c>
      <c r="N362" s="4"/>
      <c r="O362" s="8"/>
      <c r="P362">
        <v>361</v>
      </c>
      <c r="Q362" s="1">
        <v>293376000000000</v>
      </c>
      <c r="R362" s="4">
        <v>1790000000</v>
      </c>
      <c r="S362">
        <f>ROUND(1.02^A362,2)</f>
        <v>1272.51</v>
      </c>
      <c r="T362" t="str">
        <f t="shared" si="50"/>
        <v>361,293376000000000,1790000000,1272,51</v>
      </c>
    </row>
    <row r="363" spans="1:20" x14ac:dyDescent="0.25">
      <c r="A363">
        <f t="shared" si="59"/>
        <v>362</v>
      </c>
      <c r="B363" s="1">
        <v>296949700000000</v>
      </c>
      <c r="C363" s="1">
        <v>3573700000000</v>
      </c>
      <c r="E363" s="1">
        <f>+S363*10000</f>
        <v>12979600</v>
      </c>
      <c r="F363" s="1">
        <f t="shared" si="52"/>
        <v>277003.91383401648</v>
      </c>
      <c r="G363" s="1">
        <f t="shared" si="53"/>
        <v>138501.95691700824</v>
      </c>
      <c r="H363" s="1">
        <f t="shared" si="54"/>
        <v>55400.782766803291</v>
      </c>
      <c r="I363" s="1">
        <f t="shared" si="55"/>
        <v>27700.391383401646</v>
      </c>
      <c r="J363" s="1">
        <f t="shared" si="56"/>
        <v>18466.927588934432</v>
      </c>
      <c r="K363" s="1">
        <f t="shared" si="57"/>
        <v>9233.4637944672158</v>
      </c>
      <c r="L363" s="1">
        <f t="shared" si="58"/>
        <v>2770.0391383401648</v>
      </c>
      <c r="M363" s="4">
        <f t="shared" si="51"/>
        <v>1800000000</v>
      </c>
      <c r="N363" s="4"/>
      <c r="O363" s="8"/>
      <c r="P363">
        <v>362</v>
      </c>
      <c r="Q363" s="1">
        <v>296949700000000</v>
      </c>
      <c r="R363" s="4">
        <v>1800000000</v>
      </c>
      <c r="S363">
        <f>ROUND(1.02^A363,2)</f>
        <v>1297.96</v>
      </c>
      <c r="T363" t="str">
        <f t="shared" si="50"/>
        <v>362,296949700000000,1800000000,1297,96</v>
      </c>
    </row>
    <row r="364" spans="1:20" x14ac:dyDescent="0.25">
      <c r="A364">
        <f t="shared" si="59"/>
        <v>363</v>
      </c>
      <c r="B364" s="1">
        <v>300545100000000</v>
      </c>
      <c r="C364" s="1">
        <v>3595400000000</v>
      </c>
      <c r="E364" s="1">
        <f>+S364*10000</f>
        <v>13239200</v>
      </c>
      <c r="F364" s="1">
        <f t="shared" si="52"/>
        <v>273211.37228835578</v>
      </c>
      <c r="G364" s="1">
        <f t="shared" si="53"/>
        <v>136605.68614417789</v>
      </c>
      <c r="H364" s="1">
        <f t="shared" si="54"/>
        <v>54642.274457671156</v>
      </c>
      <c r="I364" s="1">
        <f t="shared" si="55"/>
        <v>27321.137228835578</v>
      </c>
      <c r="J364" s="1">
        <f t="shared" si="56"/>
        <v>18214.091485890385</v>
      </c>
      <c r="K364" s="1">
        <f t="shared" si="57"/>
        <v>9107.0457429451926</v>
      </c>
      <c r="L364" s="1">
        <f t="shared" si="58"/>
        <v>2732.1137228835578</v>
      </c>
      <c r="M364" s="4">
        <f t="shared" si="51"/>
        <v>1810000000</v>
      </c>
      <c r="N364" s="4"/>
      <c r="O364" s="8"/>
      <c r="P364">
        <v>363</v>
      </c>
      <c r="Q364" s="1">
        <v>300545100000000</v>
      </c>
      <c r="R364" s="4">
        <v>1810000000</v>
      </c>
      <c r="S364">
        <f>ROUND(1.02^A364,2)</f>
        <v>1323.92</v>
      </c>
      <c r="T364" t="str">
        <f t="shared" si="50"/>
        <v>363,300545100000000,1810000000,1323,92</v>
      </c>
    </row>
    <row r="365" spans="1:20" x14ac:dyDescent="0.25">
      <c r="A365">
        <f t="shared" si="59"/>
        <v>364</v>
      </c>
      <c r="B365" s="1">
        <v>304162200000000</v>
      </c>
      <c r="C365" s="1">
        <v>3617100000000</v>
      </c>
      <c r="E365" s="1">
        <f>+S365*10000</f>
        <v>13504000</v>
      </c>
      <c r="F365" s="1">
        <f t="shared" si="52"/>
        <v>269460.90047393367</v>
      </c>
      <c r="G365" s="1">
        <f t="shared" si="53"/>
        <v>134730.45023696683</v>
      </c>
      <c r="H365" s="1">
        <f t="shared" si="54"/>
        <v>53892.18009478673</v>
      </c>
      <c r="I365" s="1">
        <f t="shared" si="55"/>
        <v>26946.090047393365</v>
      </c>
      <c r="J365" s="1">
        <f t="shared" si="56"/>
        <v>17964.060031595578</v>
      </c>
      <c r="K365" s="1">
        <f t="shared" si="57"/>
        <v>8982.030015797789</v>
      </c>
      <c r="L365" s="1">
        <f t="shared" si="58"/>
        <v>2694.6090047393363</v>
      </c>
      <c r="M365" s="4">
        <f t="shared" si="51"/>
        <v>1820000000</v>
      </c>
      <c r="N365" s="4"/>
      <c r="O365" s="8"/>
      <c r="P365">
        <v>364</v>
      </c>
      <c r="Q365" s="1">
        <v>304162200000000</v>
      </c>
      <c r="R365" s="4">
        <v>1820000000</v>
      </c>
      <c r="S365">
        <f>ROUND(1.02^A365,2)</f>
        <v>1350.4</v>
      </c>
      <c r="T365" t="str">
        <f t="shared" si="50"/>
        <v>364,304162200000000,1820000000,1350,4</v>
      </c>
    </row>
    <row r="366" spans="1:20" x14ac:dyDescent="0.25">
      <c r="A366">
        <f t="shared" si="59"/>
        <v>365</v>
      </c>
      <c r="B366" s="1">
        <v>307801000000000</v>
      </c>
      <c r="C366" s="1">
        <v>3638800000000</v>
      </c>
      <c r="E366" s="1">
        <f>+S366*10000</f>
        <v>13774100</v>
      </c>
      <c r="F366" s="1">
        <f t="shared" si="52"/>
        <v>265752.39035581273</v>
      </c>
      <c r="G366" s="1">
        <f t="shared" si="53"/>
        <v>132876.19517790637</v>
      </c>
      <c r="H366" s="1">
        <f t="shared" si="54"/>
        <v>53150.478071162543</v>
      </c>
      <c r="I366" s="1">
        <f t="shared" si="55"/>
        <v>26575.239035581271</v>
      </c>
      <c r="J366" s="1">
        <f t="shared" si="56"/>
        <v>17716.826023720849</v>
      </c>
      <c r="K366" s="1">
        <f t="shared" si="57"/>
        <v>8858.4130118604244</v>
      </c>
      <c r="L366" s="1">
        <f t="shared" si="58"/>
        <v>2657.5239035581271</v>
      </c>
      <c r="M366" s="4">
        <f t="shared" si="51"/>
        <v>1830000000</v>
      </c>
      <c r="N366" s="4"/>
      <c r="O366" s="8"/>
      <c r="P366">
        <v>365</v>
      </c>
      <c r="Q366" s="1">
        <v>307801000000000</v>
      </c>
      <c r="R366" s="4">
        <v>1830000000</v>
      </c>
      <c r="S366">
        <f>ROUND(1.02^A366,2)</f>
        <v>1377.41</v>
      </c>
      <c r="T366" t="str">
        <f t="shared" si="50"/>
        <v>365,307801000000000,1830000000,1377,41</v>
      </c>
    </row>
    <row r="367" spans="1:20" x14ac:dyDescent="0.25">
      <c r="A367">
        <f t="shared" si="59"/>
        <v>366</v>
      </c>
      <c r="B367" s="1">
        <v>311461500000000</v>
      </c>
      <c r="C367" s="1">
        <v>3660500000000</v>
      </c>
      <c r="E367" s="1">
        <f>+S367*10000</f>
        <v>14049600</v>
      </c>
      <c r="F367" s="1">
        <f t="shared" si="52"/>
        <v>262085.75333105569</v>
      </c>
      <c r="G367" s="1">
        <f t="shared" si="53"/>
        <v>131042.87666552785</v>
      </c>
      <c r="H367" s="1">
        <f t="shared" si="54"/>
        <v>52417.150666211135</v>
      </c>
      <c r="I367" s="1">
        <f t="shared" si="55"/>
        <v>26208.575333105568</v>
      </c>
      <c r="J367" s="1">
        <f t="shared" si="56"/>
        <v>17472.383555403714</v>
      </c>
      <c r="K367" s="1">
        <f t="shared" si="57"/>
        <v>8736.1917777018571</v>
      </c>
      <c r="L367" s="1">
        <f t="shared" si="58"/>
        <v>2620.8575333105568</v>
      </c>
      <c r="M367" s="4">
        <f t="shared" si="51"/>
        <v>1840000000</v>
      </c>
      <c r="N367" s="4"/>
      <c r="O367" s="8"/>
      <c r="P367">
        <v>366</v>
      </c>
      <c r="Q367" s="1">
        <v>311461500000000</v>
      </c>
      <c r="R367" s="4">
        <v>1840000000</v>
      </c>
      <c r="S367">
        <f>ROUND(1.02^A367,2)</f>
        <v>1404.96</v>
      </c>
      <c r="T367" t="str">
        <f t="shared" si="50"/>
        <v>366,311461500000000,1840000000,1404,96</v>
      </c>
    </row>
    <row r="368" spans="1:20" x14ac:dyDescent="0.25">
      <c r="A368">
        <f t="shared" si="59"/>
        <v>367</v>
      </c>
      <c r="B368" s="1">
        <v>315143700000000</v>
      </c>
      <c r="C368" s="1">
        <v>3682200000000</v>
      </c>
      <c r="E368" s="1">
        <f>+S368*10000</f>
        <v>14330600</v>
      </c>
      <c r="F368" s="1">
        <f t="shared" si="52"/>
        <v>258460.91580254841</v>
      </c>
      <c r="G368" s="1">
        <f t="shared" si="53"/>
        <v>129230.4579012742</v>
      </c>
      <c r="H368" s="1">
        <f t="shared" si="54"/>
        <v>51692.183160509681</v>
      </c>
      <c r="I368" s="1">
        <f t="shared" si="55"/>
        <v>25846.091580254841</v>
      </c>
      <c r="J368" s="1">
        <f t="shared" si="56"/>
        <v>17230.727720169893</v>
      </c>
      <c r="K368" s="1">
        <f t="shared" si="57"/>
        <v>8615.3638600849463</v>
      </c>
      <c r="L368" s="1">
        <f t="shared" si="58"/>
        <v>2584.6091580254838</v>
      </c>
      <c r="M368" s="4">
        <f t="shared" si="51"/>
        <v>1850000000</v>
      </c>
      <c r="N368" s="4"/>
      <c r="O368" s="8"/>
      <c r="P368">
        <v>367</v>
      </c>
      <c r="Q368" s="1">
        <v>315143700000000</v>
      </c>
      <c r="R368" s="4">
        <v>1850000000</v>
      </c>
      <c r="S368">
        <f>ROUND(1.02^A368,2)</f>
        <v>1433.06</v>
      </c>
      <c r="T368" t="str">
        <f t="shared" si="50"/>
        <v>367,315143700000000,1850000000,1433,06</v>
      </c>
    </row>
    <row r="369" spans="1:20" x14ac:dyDescent="0.25">
      <c r="A369">
        <f t="shared" si="59"/>
        <v>368</v>
      </c>
      <c r="B369" s="1">
        <v>318847600000000</v>
      </c>
      <c r="C369" s="1">
        <v>3703900000000</v>
      </c>
      <c r="E369" s="1">
        <f>+S369*10000</f>
        <v>14617200</v>
      </c>
      <c r="F369" s="1">
        <f t="shared" si="52"/>
        <v>254877.81517664122</v>
      </c>
      <c r="G369" s="1">
        <f t="shared" si="53"/>
        <v>127438.90758832061</v>
      </c>
      <c r="H369" s="1">
        <f t="shared" si="54"/>
        <v>50975.563035328247</v>
      </c>
      <c r="I369" s="1">
        <f t="shared" si="55"/>
        <v>25487.781517664123</v>
      </c>
      <c r="J369" s="1">
        <f t="shared" si="56"/>
        <v>16991.854345109416</v>
      </c>
      <c r="K369" s="1">
        <f t="shared" si="57"/>
        <v>8495.9271725547078</v>
      </c>
      <c r="L369" s="1">
        <f t="shared" si="58"/>
        <v>2548.7781517664121</v>
      </c>
      <c r="M369" s="4">
        <f t="shared" si="51"/>
        <v>1860000000</v>
      </c>
      <c r="N369" s="4"/>
      <c r="O369" s="8"/>
      <c r="P369">
        <v>368</v>
      </c>
      <c r="Q369" s="1">
        <v>318847600000000</v>
      </c>
      <c r="R369" s="4">
        <v>1860000000</v>
      </c>
      <c r="S369">
        <f>ROUND(1.02^A369,2)</f>
        <v>1461.72</v>
      </c>
      <c r="T369" t="str">
        <f t="shared" si="50"/>
        <v>368,318847600000000,1860000000,1461,72</v>
      </c>
    </row>
    <row r="370" spans="1:20" x14ac:dyDescent="0.25">
      <c r="A370">
        <f t="shared" si="59"/>
        <v>369</v>
      </c>
      <c r="B370" s="1">
        <v>322573200000000</v>
      </c>
      <c r="C370" s="1">
        <v>3725600000000</v>
      </c>
      <c r="E370" s="1">
        <f>+S370*10000</f>
        <v>14909500</v>
      </c>
      <c r="F370" s="1">
        <f t="shared" si="52"/>
        <v>251336.39625741978</v>
      </c>
      <c r="G370" s="1">
        <f t="shared" si="53"/>
        <v>125668.19812870989</v>
      </c>
      <c r="H370" s="1">
        <f t="shared" si="54"/>
        <v>50267.279251483953</v>
      </c>
      <c r="I370" s="1">
        <f t="shared" si="55"/>
        <v>25133.639625741976</v>
      </c>
      <c r="J370" s="1">
        <f t="shared" si="56"/>
        <v>16755.75975049465</v>
      </c>
      <c r="K370" s="1">
        <f t="shared" si="57"/>
        <v>8377.8798752473249</v>
      </c>
      <c r="L370" s="1">
        <f t="shared" si="58"/>
        <v>2513.3639625741976</v>
      </c>
      <c r="M370" s="4">
        <f t="shared" si="51"/>
        <v>1870000000</v>
      </c>
      <c r="N370" s="4"/>
      <c r="O370" s="8"/>
      <c r="P370">
        <v>369</v>
      </c>
      <c r="Q370" s="1">
        <v>322573200000000</v>
      </c>
      <c r="R370" s="4">
        <v>1870000000</v>
      </c>
      <c r="S370">
        <f>ROUND(1.02^A370,2)</f>
        <v>1490.95</v>
      </c>
      <c r="T370" t="str">
        <f t="shared" si="50"/>
        <v>369,322573200000000,1870000000,1490,95</v>
      </c>
    </row>
    <row r="371" spans="1:20" x14ac:dyDescent="0.25">
      <c r="A371">
        <f t="shared" si="59"/>
        <v>370</v>
      </c>
      <c r="B371" s="1">
        <v>326320500000000</v>
      </c>
      <c r="C371" s="1">
        <v>3747300000000</v>
      </c>
      <c r="E371" s="1">
        <f>+S371*10000</f>
        <v>15207700</v>
      </c>
      <c r="F371" s="1">
        <f t="shared" si="52"/>
        <v>247834.9783333443</v>
      </c>
      <c r="G371" s="1">
        <f t="shared" si="53"/>
        <v>123917.48916667215</v>
      </c>
      <c r="H371" s="1">
        <f t="shared" si="54"/>
        <v>49566.995666668859</v>
      </c>
      <c r="I371" s="1">
        <f t="shared" si="55"/>
        <v>24783.49783333443</v>
      </c>
      <c r="J371" s="1">
        <f t="shared" si="56"/>
        <v>16522.331888889621</v>
      </c>
      <c r="K371" s="1">
        <f t="shared" si="57"/>
        <v>8261.1659444448105</v>
      </c>
      <c r="L371" s="1">
        <f t="shared" si="58"/>
        <v>2478.3497833334427</v>
      </c>
      <c r="M371" s="4">
        <f t="shared" si="51"/>
        <v>1880000000</v>
      </c>
      <c r="N371" s="4"/>
      <c r="O371" s="8"/>
      <c r="P371">
        <v>370</v>
      </c>
      <c r="Q371" s="1">
        <v>326320500000000</v>
      </c>
      <c r="R371" s="4">
        <v>1880000000</v>
      </c>
      <c r="S371">
        <f>ROUND(1.02^A371,2)</f>
        <v>1520.77</v>
      </c>
      <c r="T371" t="str">
        <f t="shared" si="50"/>
        <v>370,326320500000000,1880000000,1520,77</v>
      </c>
    </row>
    <row r="372" spans="1:20" x14ac:dyDescent="0.25">
      <c r="A372">
        <f t="shared" si="59"/>
        <v>371</v>
      </c>
      <c r="B372" s="1">
        <v>330089500000000</v>
      </c>
      <c r="C372" s="1">
        <v>3769000000000</v>
      </c>
      <c r="E372" s="1">
        <f>+S372*10000</f>
        <v>15511900</v>
      </c>
      <c r="F372" s="1">
        <f t="shared" si="52"/>
        <v>244373.67440481178</v>
      </c>
      <c r="G372" s="1">
        <f t="shared" si="53"/>
        <v>122186.83720240589</v>
      </c>
      <c r="H372" s="1">
        <f t="shared" si="54"/>
        <v>48874.734880962358</v>
      </c>
      <c r="I372" s="1">
        <f t="shared" si="55"/>
        <v>24437.367440481179</v>
      </c>
      <c r="J372" s="1">
        <f t="shared" si="56"/>
        <v>16291.57829365412</v>
      </c>
      <c r="K372" s="1">
        <f t="shared" si="57"/>
        <v>8145.78914682706</v>
      </c>
      <c r="L372" s="1">
        <f t="shared" si="58"/>
        <v>2443.736744048118</v>
      </c>
      <c r="M372" s="4">
        <f t="shared" si="51"/>
        <v>1900000000</v>
      </c>
      <c r="N372" s="4"/>
      <c r="O372" s="8"/>
      <c r="P372">
        <v>371</v>
      </c>
      <c r="Q372" s="1">
        <v>330089500000000</v>
      </c>
      <c r="R372" s="4">
        <v>1900000000</v>
      </c>
      <c r="S372">
        <f>ROUND(1.02^A372,2)</f>
        <v>1551.19</v>
      </c>
      <c r="T372" t="str">
        <f t="shared" si="50"/>
        <v>371,330089500000000,1900000000,1551,19</v>
      </c>
    </row>
    <row r="373" spans="1:20" x14ac:dyDescent="0.25">
      <c r="A373">
        <f t="shared" si="59"/>
        <v>372</v>
      </c>
      <c r="B373" s="1">
        <v>333880200000000</v>
      </c>
      <c r="C373" s="1">
        <v>3790700000000</v>
      </c>
      <c r="E373" s="1">
        <f>+S373*10000</f>
        <v>15822100</v>
      </c>
      <c r="F373" s="1">
        <f t="shared" si="52"/>
        <v>240954.10849381561</v>
      </c>
      <c r="G373" s="1">
        <f t="shared" si="53"/>
        <v>120477.05424690781</v>
      </c>
      <c r="H373" s="1">
        <f t="shared" si="54"/>
        <v>48190.821698763124</v>
      </c>
      <c r="I373" s="1">
        <f t="shared" si="55"/>
        <v>24095.410849381562</v>
      </c>
      <c r="J373" s="1">
        <f t="shared" si="56"/>
        <v>16063.60723292104</v>
      </c>
      <c r="K373" s="1">
        <f t="shared" si="57"/>
        <v>8031.8036164605201</v>
      </c>
      <c r="L373" s="1">
        <f t="shared" si="58"/>
        <v>2409.541084938156</v>
      </c>
      <c r="M373" s="4">
        <f t="shared" si="51"/>
        <v>1910000000</v>
      </c>
      <c r="N373" s="4"/>
      <c r="O373" s="8"/>
      <c r="P373">
        <v>372</v>
      </c>
      <c r="Q373" s="1">
        <v>333880200000000</v>
      </c>
      <c r="R373" s="4">
        <v>1910000000</v>
      </c>
      <c r="S373">
        <f>ROUND(1.02^A373,2)</f>
        <v>1582.21</v>
      </c>
      <c r="T373" t="str">
        <f t="shared" si="50"/>
        <v>372,333880200000000,1910000000,1582,21</v>
      </c>
    </row>
    <row r="374" spans="1:20" x14ac:dyDescent="0.25">
      <c r="A374">
        <f t="shared" si="59"/>
        <v>373</v>
      </c>
      <c r="B374" s="1">
        <v>337692600000000</v>
      </c>
      <c r="C374" s="1">
        <v>3812400000000</v>
      </c>
      <c r="E374" s="1">
        <f>+S374*10000</f>
        <v>16138500</v>
      </c>
      <c r="F374" s="1">
        <f t="shared" si="52"/>
        <v>237574.74362549183</v>
      </c>
      <c r="G374" s="1">
        <f t="shared" si="53"/>
        <v>118787.37181274591</v>
      </c>
      <c r="H374" s="1">
        <f t="shared" si="54"/>
        <v>47514.948725098366</v>
      </c>
      <c r="I374" s="1">
        <f t="shared" si="55"/>
        <v>23757.474362549183</v>
      </c>
      <c r="J374" s="1">
        <f t="shared" si="56"/>
        <v>15838.316241699456</v>
      </c>
      <c r="K374" s="1">
        <f t="shared" si="57"/>
        <v>7919.1581208497282</v>
      </c>
      <c r="L374" s="1">
        <f t="shared" si="58"/>
        <v>2375.7474362549183</v>
      </c>
      <c r="M374" s="4">
        <f t="shared" si="51"/>
        <v>1920000000</v>
      </c>
      <c r="N374" s="4"/>
      <c r="O374" s="8"/>
      <c r="P374">
        <v>373</v>
      </c>
      <c r="Q374" s="1">
        <v>337692600000000</v>
      </c>
      <c r="R374" s="4">
        <v>1920000000</v>
      </c>
      <c r="S374">
        <f>ROUND(1.02^A374,2)</f>
        <v>1613.85</v>
      </c>
      <c r="T374" t="str">
        <f t="shared" si="50"/>
        <v>373,337692600000000,1920000000,1613,85</v>
      </c>
    </row>
    <row r="375" spans="1:20" x14ac:dyDescent="0.25">
      <c r="A375">
        <f t="shared" si="59"/>
        <v>374</v>
      </c>
      <c r="B375" s="1">
        <v>341526700000000</v>
      </c>
      <c r="C375" s="1">
        <v>3834100000000</v>
      </c>
      <c r="E375" s="1">
        <f>+S375*10000</f>
        <v>16461300.000000002</v>
      </c>
      <c r="F375" s="1">
        <f t="shared" si="52"/>
        <v>234234.2342342342</v>
      </c>
      <c r="G375" s="1">
        <f t="shared" si="53"/>
        <v>117117.1171171171</v>
      </c>
      <c r="H375" s="1">
        <f t="shared" si="54"/>
        <v>46846.846846846842</v>
      </c>
      <c r="I375" s="1">
        <f t="shared" si="55"/>
        <v>23423.423423423421</v>
      </c>
      <c r="J375" s="1">
        <f t="shared" si="56"/>
        <v>15615.615615615614</v>
      </c>
      <c r="K375" s="1">
        <f t="shared" si="57"/>
        <v>7807.807807807807</v>
      </c>
      <c r="L375" s="1">
        <f t="shared" si="58"/>
        <v>2342.3423423423419</v>
      </c>
      <c r="M375" s="4">
        <f t="shared" si="51"/>
        <v>1930000000</v>
      </c>
      <c r="N375" s="4"/>
      <c r="O375" s="8"/>
      <c r="P375">
        <v>374</v>
      </c>
      <c r="Q375" s="1">
        <v>341526700000000</v>
      </c>
      <c r="R375" s="4">
        <v>1930000000</v>
      </c>
      <c r="S375">
        <f>ROUND(1.02^A375,2)</f>
        <v>1646.13</v>
      </c>
      <c r="T375" t="str">
        <f t="shared" si="50"/>
        <v>374,341526700000000,1930000000,1646,13</v>
      </c>
    </row>
    <row r="376" spans="1:20" x14ac:dyDescent="0.25">
      <c r="A376">
        <f t="shared" si="59"/>
        <v>375</v>
      </c>
      <c r="B376" s="1">
        <v>345382500000000</v>
      </c>
      <c r="C376" s="1">
        <v>3855800000000</v>
      </c>
      <c r="E376" s="1">
        <f>+S376*10000</f>
        <v>16790500</v>
      </c>
      <c r="F376" s="1">
        <f t="shared" si="52"/>
        <v>230934.15919716508</v>
      </c>
      <c r="G376" s="1">
        <f t="shared" si="53"/>
        <v>115467.07959858254</v>
      </c>
      <c r="H376" s="1">
        <f t="shared" si="54"/>
        <v>46186.831839433013</v>
      </c>
      <c r="I376" s="1">
        <f t="shared" si="55"/>
        <v>23093.415919716506</v>
      </c>
      <c r="J376" s="1">
        <f t="shared" si="56"/>
        <v>15395.610613144338</v>
      </c>
      <c r="K376" s="1">
        <f t="shared" si="57"/>
        <v>7697.8053065721688</v>
      </c>
      <c r="L376" s="1">
        <f t="shared" si="58"/>
        <v>2309.3415919716508</v>
      </c>
      <c r="M376" s="4">
        <f t="shared" si="51"/>
        <v>1940000000</v>
      </c>
      <c r="N376" s="4"/>
      <c r="O376" s="8"/>
      <c r="P376">
        <v>375</v>
      </c>
      <c r="Q376" s="1">
        <v>345382500000000</v>
      </c>
      <c r="R376" s="4">
        <v>1940000000</v>
      </c>
      <c r="S376">
        <f>ROUND(1.02^A376,2)</f>
        <v>1679.05</v>
      </c>
      <c r="T376" t="str">
        <f t="shared" si="50"/>
        <v>375,345382500000000,1940000000,1679,05</v>
      </c>
    </row>
    <row r="377" spans="1:20" x14ac:dyDescent="0.25">
      <c r="A377">
        <f t="shared" si="59"/>
        <v>376</v>
      </c>
      <c r="B377" s="1">
        <v>349260000000000</v>
      </c>
      <c r="C377" s="1">
        <v>3877500000000</v>
      </c>
      <c r="E377" s="1">
        <f>+S377*10000</f>
        <v>17126300</v>
      </c>
      <c r="F377" s="1">
        <f t="shared" si="52"/>
        <v>227673.22772577847</v>
      </c>
      <c r="G377" s="1">
        <f t="shared" si="53"/>
        <v>113836.61386288924</v>
      </c>
      <c r="H377" s="1">
        <f t="shared" si="54"/>
        <v>45534.645545155698</v>
      </c>
      <c r="I377" s="1">
        <f t="shared" si="55"/>
        <v>22767.322772577849</v>
      </c>
      <c r="J377" s="1">
        <f t="shared" si="56"/>
        <v>15178.215181718566</v>
      </c>
      <c r="K377" s="1">
        <f t="shared" si="57"/>
        <v>7589.1075908592829</v>
      </c>
      <c r="L377" s="1">
        <f t="shared" si="58"/>
        <v>2276.732277257785</v>
      </c>
      <c r="M377" s="4">
        <f t="shared" si="51"/>
        <v>1950000000</v>
      </c>
      <c r="N377" s="4"/>
      <c r="O377" s="8"/>
      <c r="P377">
        <v>376</v>
      </c>
      <c r="Q377" s="1">
        <v>349260000000000</v>
      </c>
      <c r="R377" s="4">
        <v>1950000000</v>
      </c>
      <c r="S377">
        <f>ROUND(1.02^A377,2)</f>
        <v>1712.63</v>
      </c>
      <c r="T377" t="str">
        <f t="shared" si="50"/>
        <v>376,349260000000000,1950000000,1712,63</v>
      </c>
    </row>
    <row r="378" spans="1:20" x14ac:dyDescent="0.25">
      <c r="A378">
        <f t="shared" si="59"/>
        <v>377</v>
      </c>
      <c r="B378" s="1">
        <v>353159200000000</v>
      </c>
      <c r="C378" s="1">
        <v>3899200000000</v>
      </c>
      <c r="E378" s="1">
        <f>+S378*10000</f>
        <v>17468900</v>
      </c>
      <c r="F378" s="1">
        <f t="shared" si="52"/>
        <v>224450.30883455742</v>
      </c>
      <c r="G378" s="1">
        <f t="shared" si="53"/>
        <v>112225.15441727871</v>
      </c>
      <c r="H378" s="1">
        <f t="shared" si="54"/>
        <v>44890.06176691148</v>
      </c>
      <c r="I378" s="1">
        <f t="shared" si="55"/>
        <v>22445.03088345574</v>
      </c>
      <c r="J378" s="1">
        <f t="shared" si="56"/>
        <v>14963.353922303828</v>
      </c>
      <c r="K378" s="1">
        <f t="shared" si="57"/>
        <v>7481.6769611519139</v>
      </c>
      <c r="L378" s="1">
        <f t="shared" si="58"/>
        <v>2244.5030883455743</v>
      </c>
      <c r="M378" s="4">
        <f t="shared" si="51"/>
        <v>1960000000</v>
      </c>
      <c r="N378" s="4"/>
      <c r="O378" s="8"/>
      <c r="P378">
        <v>377</v>
      </c>
      <c r="Q378" s="1">
        <v>353159200000000</v>
      </c>
      <c r="R378" s="4">
        <v>1960000000</v>
      </c>
      <c r="S378">
        <f>ROUND(1.02^A378,2)</f>
        <v>1746.89</v>
      </c>
      <c r="T378" t="str">
        <f t="shared" si="50"/>
        <v>377,353159200000000,1960000000,1746,89</v>
      </c>
    </row>
    <row r="379" spans="1:20" x14ac:dyDescent="0.25">
      <c r="A379">
        <f t="shared" si="59"/>
        <v>378</v>
      </c>
      <c r="B379" s="1">
        <v>357080100000000</v>
      </c>
      <c r="C379" s="1">
        <v>3920900000000</v>
      </c>
      <c r="E379" s="1">
        <f>+S379*10000</f>
        <v>17818200</v>
      </c>
      <c r="F379" s="1">
        <f t="shared" si="52"/>
        <v>221268.14156312085</v>
      </c>
      <c r="G379" s="1">
        <f t="shared" si="53"/>
        <v>110634.07078156043</v>
      </c>
      <c r="H379" s="1">
        <f t="shared" si="54"/>
        <v>44253.628312624169</v>
      </c>
      <c r="I379" s="1">
        <f t="shared" si="55"/>
        <v>22126.814156312084</v>
      </c>
      <c r="J379" s="1">
        <f t="shared" si="56"/>
        <v>14751.209437541391</v>
      </c>
      <c r="K379" s="1">
        <f t="shared" si="57"/>
        <v>7375.6047187706954</v>
      </c>
      <c r="L379" s="1">
        <f t="shared" si="58"/>
        <v>2212.6814156312084</v>
      </c>
      <c r="M379" s="4">
        <f t="shared" si="51"/>
        <v>1970000000</v>
      </c>
      <c r="N379" s="4"/>
      <c r="O379" s="8"/>
      <c r="P379">
        <v>378</v>
      </c>
      <c r="Q379" s="1">
        <v>357080100000000</v>
      </c>
      <c r="R379" s="4">
        <v>1970000000</v>
      </c>
      <c r="S379">
        <f>ROUND(1.02^A379,2)</f>
        <v>1781.82</v>
      </c>
      <c r="T379" t="str">
        <f t="shared" si="50"/>
        <v>378,357080100000000,1970000000,1781,82</v>
      </c>
    </row>
    <row r="380" spans="1:20" x14ac:dyDescent="0.25">
      <c r="A380">
        <f t="shared" si="59"/>
        <v>379</v>
      </c>
      <c r="B380" s="1">
        <v>361022700000000</v>
      </c>
      <c r="C380" s="1">
        <v>3942600000000</v>
      </c>
      <c r="E380" s="1">
        <f>+S380*10000</f>
        <v>18174600</v>
      </c>
      <c r="F380" s="1">
        <f t="shared" si="52"/>
        <v>218123.09486866285</v>
      </c>
      <c r="G380" s="1">
        <f t="shared" si="53"/>
        <v>109061.54743433143</v>
      </c>
      <c r="H380" s="1">
        <f t="shared" si="54"/>
        <v>43624.618973732569</v>
      </c>
      <c r="I380" s="1">
        <f t="shared" si="55"/>
        <v>21812.309486866285</v>
      </c>
      <c r="J380" s="1">
        <f t="shared" si="56"/>
        <v>14541.539657910856</v>
      </c>
      <c r="K380" s="1">
        <f t="shared" si="57"/>
        <v>7270.7698289554282</v>
      </c>
      <c r="L380" s="1">
        <f t="shared" si="58"/>
        <v>2181.2309486866284</v>
      </c>
      <c r="M380" s="4">
        <f t="shared" si="51"/>
        <v>1980000000</v>
      </c>
      <c r="N380" s="4"/>
      <c r="O380" s="8"/>
      <c r="P380">
        <v>379</v>
      </c>
      <c r="Q380" s="1">
        <v>361022700000000</v>
      </c>
      <c r="R380" s="4">
        <v>1980000000</v>
      </c>
      <c r="S380">
        <f>ROUND(1.02^A380,2)</f>
        <v>1817.46</v>
      </c>
      <c r="T380" t="str">
        <f t="shared" si="50"/>
        <v>379,361022700000000,1980000000,1817,46</v>
      </c>
    </row>
    <row r="381" spans="1:20" x14ac:dyDescent="0.25">
      <c r="A381">
        <f t="shared" si="59"/>
        <v>380</v>
      </c>
      <c r="B381" s="1">
        <v>364987000000000</v>
      </c>
      <c r="C381" s="1">
        <v>3964300000000</v>
      </c>
      <c r="E381" s="1">
        <f>+S381*10000</f>
        <v>18538100</v>
      </c>
      <c r="F381" s="1">
        <f t="shared" si="52"/>
        <v>215016.64140338005</v>
      </c>
      <c r="G381" s="1">
        <f t="shared" si="53"/>
        <v>107508.32070169003</v>
      </c>
      <c r="H381" s="1">
        <f t="shared" si="54"/>
        <v>43003.328280676011</v>
      </c>
      <c r="I381" s="1">
        <f t="shared" si="55"/>
        <v>21501.664140338005</v>
      </c>
      <c r="J381" s="1">
        <f t="shared" si="56"/>
        <v>14334.442760225338</v>
      </c>
      <c r="K381" s="1">
        <f t="shared" si="57"/>
        <v>7167.2213801126691</v>
      </c>
      <c r="L381" s="1">
        <f t="shared" si="58"/>
        <v>2150.1664140338007</v>
      </c>
      <c r="M381" s="4">
        <f t="shared" si="51"/>
        <v>1990000000</v>
      </c>
      <c r="N381" s="4"/>
      <c r="O381" s="8"/>
      <c r="P381">
        <v>380</v>
      </c>
      <c r="Q381" s="1">
        <v>364987000000000</v>
      </c>
      <c r="R381" s="4">
        <v>1990000000</v>
      </c>
      <c r="S381">
        <f>ROUND(1.02^A381,2)</f>
        <v>1853.81</v>
      </c>
      <c r="T381" t="str">
        <f t="shared" si="50"/>
        <v>380,364987000000000,1990000000,1853,81</v>
      </c>
    </row>
    <row r="382" spans="1:20" x14ac:dyDescent="0.25">
      <c r="A382">
        <f t="shared" si="59"/>
        <v>381</v>
      </c>
      <c r="B382" s="1">
        <v>368973000000000</v>
      </c>
      <c r="C382" s="1">
        <v>3986000000000</v>
      </c>
      <c r="E382" s="1">
        <f>+S382*10000</f>
        <v>18908900</v>
      </c>
      <c r="F382" s="1">
        <f t="shared" si="52"/>
        <v>211947.81293464982</v>
      </c>
      <c r="G382" s="1">
        <f t="shared" si="53"/>
        <v>105973.90646732491</v>
      </c>
      <c r="H382" s="1">
        <f t="shared" si="54"/>
        <v>42389.562586929962</v>
      </c>
      <c r="I382" s="1">
        <f t="shared" si="55"/>
        <v>21194.781293464981</v>
      </c>
      <c r="J382" s="1">
        <f t="shared" si="56"/>
        <v>14129.854195643322</v>
      </c>
      <c r="K382" s="1">
        <f t="shared" si="57"/>
        <v>7064.9270978216609</v>
      </c>
      <c r="L382" s="1">
        <f t="shared" si="58"/>
        <v>2119.478129346498</v>
      </c>
      <c r="M382" s="4">
        <f t="shared" si="51"/>
        <v>2000000000</v>
      </c>
      <c r="N382" s="4"/>
      <c r="O382" s="8"/>
      <c r="P382">
        <v>381</v>
      </c>
      <c r="Q382" s="1">
        <v>368973000000000</v>
      </c>
      <c r="R382" s="4">
        <v>2000000000</v>
      </c>
      <c r="S382">
        <f>ROUND(1.02^A382,2)</f>
        <v>1890.89</v>
      </c>
      <c r="T382" t="str">
        <f t="shared" si="50"/>
        <v>381,368973000000000,2000000000,1890,89</v>
      </c>
    </row>
    <row r="383" spans="1:20" x14ac:dyDescent="0.25">
      <c r="A383">
        <f t="shared" si="59"/>
        <v>382</v>
      </c>
      <c r="B383" s="1">
        <v>372980700000000</v>
      </c>
      <c r="C383" s="1">
        <v>4007700000000</v>
      </c>
      <c r="E383" s="1">
        <f>+S383*10000</f>
        <v>19287000</v>
      </c>
      <c r="F383" s="1">
        <f t="shared" si="52"/>
        <v>208917.92399025252</v>
      </c>
      <c r="G383" s="1">
        <f t="shared" si="53"/>
        <v>104458.96199512626</v>
      </c>
      <c r="H383" s="1">
        <f t="shared" si="54"/>
        <v>41783.584798050499</v>
      </c>
      <c r="I383" s="1">
        <f t="shared" si="55"/>
        <v>20891.792399025249</v>
      </c>
      <c r="J383" s="1">
        <f t="shared" si="56"/>
        <v>13927.861599350166</v>
      </c>
      <c r="K383" s="1">
        <f t="shared" si="57"/>
        <v>6963.9307996750831</v>
      </c>
      <c r="L383" s="1">
        <f t="shared" si="58"/>
        <v>2089.1792399025248</v>
      </c>
      <c r="M383" s="4">
        <f t="shared" si="51"/>
        <v>2010000000</v>
      </c>
      <c r="N383" s="4"/>
      <c r="O383" s="8"/>
      <c r="P383">
        <v>382</v>
      </c>
      <c r="Q383" s="1">
        <v>372980700000000</v>
      </c>
      <c r="R383" s="4">
        <v>2010000000</v>
      </c>
      <c r="S383">
        <f>ROUND(1.02^A383,2)</f>
        <v>1928.7</v>
      </c>
      <c r="T383" t="str">
        <f t="shared" si="50"/>
        <v>382,372980700000000,2010000000,1928,7</v>
      </c>
    </row>
    <row r="384" spans="1:20" x14ac:dyDescent="0.25">
      <c r="A384">
        <f t="shared" si="59"/>
        <v>383</v>
      </c>
      <c r="B384" s="1">
        <v>377010100000000</v>
      </c>
      <c r="C384" s="1">
        <v>4029400000000</v>
      </c>
      <c r="E384" s="1">
        <f>+S384*10000</f>
        <v>19672800</v>
      </c>
      <c r="F384" s="1">
        <f t="shared" si="52"/>
        <v>205923.91525354804</v>
      </c>
      <c r="G384" s="1">
        <f t="shared" si="53"/>
        <v>102961.95762677402</v>
      </c>
      <c r="H384" s="1">
        <f t="shared" si="54"/>
        <v>41184.783050709608</v>
      </c>
      <c r="I384" s="1">
        <f t="shared" si="55"/>
        <v>20592.391525354804</v>
      </c>
      <c r="J384" s="1">
        <f t="shared" si="56"/>
        <v>13728.261016903203</v>
      </c>
      <c r="K384" s="1">
        <f t="shared" si="57"/>
        <v>6864.1305084516016</v>
      </c>
      <c r="L384" s="1">
        <f t="shared" si="58"/>
        <v>2059.2391525354806</v>
      </c>
      <c r="M384" s="4">
        <f t="shared" si="51"/>
        <v>2030000000</v>
      </c>
      <c r="N384" s="4"/>
      <c r="O384" s="8"/>
      <c r="P384">
        <v>383</v>
      </c>
      <c r="Q384" s="1">
        <v>377010100000000</v>
      </c>
      <c r="R384" s="4">
        <v>2030000000</v>
      </c>
      <c r="S384">
        <f>ROUND(1.02^A384,2)</f>
        <v>1967.28</v>
      </c>
      <c r="T384" t="str">
        <f t="shared" si="50"/>
        <v>383,377010100000000,2030000000,1967,28</v>
      </c>
    </row>
    <row r="385" spans="1:20" x14ac:dyDescent="0.25">
      <c r="A385">
        <f t="shared" si="59"/>
        <v>384</v>
      </c>
      <c r="B385" s="1">
        <v>381061200000000</v>
      </c>
      <c r="C385" s="1">
        <v>4051100000000</v>
      </c>
      <c r="E385" s="1">
        <f>+S385*10000</f>
        <v>20066200</v>
      </c>
      <c r="F385" s="1">
        <f t="shared" si="52"/>
        <v>202968.17533962583</v>
      </c>
      <c r="G385" s="1">
        <f t="shared" si="53"/>
        <v>101484.08766981291</v>
      </c>
      <c r="H385" s="1">
        <f t="shared" si="54"/>
        <v>40593.63506792517</v>
      </c>
      <c r="I385" s="1">
        <f t="shared" si="55"/>
        <v>20296.817533962585</v>
      </c>
      <c r="J385" s="1">
        <f t="shared" si="56"/>
        <v>13531.211689308389</v>
      </c>
      <c r="K385" s="1">
        <f t="shared" si="57"/>
        <v>6765.6058446541947</v>
      </c>
      <c r="L385" s="1">
        <f t="shared" si="58"/>
        <v>2029.6817533962583</v>
      </c>
      <c r="M385" s="4">
        <f t="shared" si="51"/>
        <v>2040000000</v>
      </c>
      <c r="N385" s="4"/>
      <c r="O385" s="8"/>
      <c r="P385">
        <v>384</v>
      </c>
      <c r="Q385" s="1">
        <v>381061200000000</v>
      </c>
      <c r="R385" s="4">
        <v>2040000000</v>
      </c>
      <c r="S385">
        <f>ROUND(1.02^A385,2)</f>
        <v>2006.62</v>
      </c>
      <c r="T385" t="str">
        <f t="shared" si="50"/>
        <v>384,381061200000000,2040000000,2006,62</v>
      </c>
    </row>
    <row r="386" spans="1:20" x14ac:dyDescent="0.25">
      <c r="A386">
        <f t="shared" si="59"/>
        <v>385</v>
      </c>
      <c r="B386" s="1">
        <v>385134000000000</v>
      </c>
      <c r="C386" s="1">
        <v>4072800000000</v>
      </c>
      <c r="E386" s="1">
        <f>+S386*10000</f>
        <v>20467600</v>
      </c>
      <c r="F386" s="1">
        <f t="shared" si="52"/>
        <v>200047.88055267837</v>
      </c>
      <c r="G386" s="1">
        <f t="shared" si="53"/>
        <v>100023.94027633918</v>
      </c>
      <c r="H386" s="1">
        <f t="shared" si="54"/>
        <v>40009.576110535672</v>
      </c>
      <c r="I386" s="1">
        <f t="shared" si="55"/>
        <v>20004.788055267836</v>
      </c>
      <c r="J386" s="1">
        <f t="shared" si="56"/>
        <v>13336.525370178559</v>
      </c>
      <c r="K386" s="1">
        <f t="shared" si="57"/>
        <v>6668.2626850892793</v>
      </c>
      <c r="L386" s="1">
        <f t="shared" si="58"/>
        <v>2000.4788055267838</v>
      </c>
      <c r="M386" s="4">
        <f t="shared" si="51"/>
        <v>2050000000</v>
      </c>
      <c r="N386" s="4"/>
      <c r="O386" s="8"/>
      <c r="P386">
        <v>385</v>
      </c>
      <c r="Q386" s="1">
        <v>385134000000000</v>
      </c>
      <c r="R386" s="4">
        <v>2050000000</v>
      </c>
      <c r="S386">
        <f>ROUND(1.02^A386,2)</f>
        <v>2046.76</v>
      </c>
      <c r="T386" t="str">
        <f t="shared" ref="T386:T449" si="60">P386&amp;","&amp;Q386&amp;","&amp;R386&amp;","&amp;S386</f>
        <v>385,385134000000000,2050000000,2046,76</v>
      </c>
    </row>
    <row r="387" spans="1:20" x14ac:dyDescent="0.25">
      <c r="A387">
        <f t="shared" si="59"/>
        <v>386</v>
      </c>
      <c r="B387" s="1">
        <v>389228500000000</v>
      </c>
      <c r="C387" s="1">
        <v>4094500000000</v>
      </c>
      <c r="E387" s="1">
        <f>+S387*10000</f>
        <v>20876900</v>
      </c>
      <c r="F387" s="1">
        <f t="shared" si="52"/>
        <v>197165.28794983929</v>
      </c>
      <c r="G387" s="1">
        <f t="shared" si="53"/>
        <v>98582.643974919643</v>
      </c>
      <c r="H387" s="1">
        <f t="shared" si="54"/>
        <v>39433.057589967859</v>
      </c>
      <c r="I387" s="1">
        <f t="shared" si="55"/>
        <v>19716.528794983929</v>
      </c>
      <c r="J387" s="1">
        <f t="shared" si="56"/>
        <v>13144.352529989286</v>
      </c>
      <c r="K387" s="1">
        <f t="shared" si="57"/>
        <v>6572.1762649946431</v>
      </c>
      <c r="L387" s="1">
        <f t="shared" si="58"/>
        <v>1971.6528794983928</v>
      </c>
      <c r="M387" s="4">
        <f t="shared" ref="M387:M450" si="61">ROUND(MAX(E388*6.3*10%,C388*0.05%),-MAX(2,INT(LOG10(MAX(E388*6.3*10%,C388*0.05%)))-2))</f>
        <v>2060000000</v>
      </c>
      <c r="N387" s="4"/>
      <c r="O387" s="8"/>
      <c r="P387">
        <v>386</v>
      </c>
      <c r="Q387" s="1">
        <v>389228500000000</v>
      </c>
      <c r="R387" s="4">
        <v>2060000000</v>
      </c>
      <c r="S387">
        <f>ROUND(1.02^A387,2)</f>
        <v>2087.69</v>
      </c>
      <c r="T387" t="str">
        <f t="shared" si="60"/>
        <v>386,389228500000000,2060000000,2087,69</v>
      </c>
    </row>
    <row r="388" spans="1:20" x14ac:dyDescent="0.25">
      <c r="A388">
        <f t="shared" si="59"/>
        <v>387</v>
      </c>
      <c r="B388" s="1">
        <v>393344700000000</v>
      </c>
      <c r="C388" s="1">
        <v>4116200000000</v>
      </c>
      <c r="E388" s="1">
        <f>+S388*10000</f>
        <v>21294500</v>
      </c>
      <c r="F388" s="1">
        <f t="shared" ref="F388:F451" si="62">$C389/($E388*1)</f>
        <v>194317.78158679471</v>
      </c>
      <c r="G388" s="1">
        <f t="shared" ref="G388:G451" si="63">$C389/($E388*2)</f>
        <v>97158.890793397353</v>
      </c>
      <c r="H388" s="1">
        <f t="shared" ref="H388:H451" si="64">$C389/($E388*5)</f>
        <v>38863.55631735894</v>
      </c>
      <c r="I388" s="1">
        <f t="shared" ref="I388:I451" si="65">$C389/($E388*10)</f>
        <v>19431.77815867947</v>
      </c>
      <c r="J388" s="1">
        <f t="shared" ref="J388:J451" si="66">$C389/($E388*15)</f>
        <v>12954.518772452981</v>
      </c>
      <c r="K388" s="1">
        <f t="shared" ref="K388:K451" si="67">$C389/($E388*30)</f>
        <v>6477.2593862264903</v>
      </c>
      <c r="L388" s="1">
        <f t="shared" ref="L388:L451" si="68">$C389/($E388*100)</f>
        <v>1943.1778158679472</v>
      </c>
      <c r="M388" s="4">
        <f t="shared" si="61"/>
        <v>2070000000</v>
      </c>
      <c r="N388" s="4"/>
      <c r="O388" s="8"/>
      <c r="P388">
        <v>387</v>
      </c>
      <c r="Q388" s="1">
        <v>393344700000000</v>
      </c>
      <c r="R388" s="4">
        <v>2070000000</v>
      </c>
      <c r="S388">
        <f>ROUND(1.02^A388,2)</f>
        <v>2129.4499999999998</v>
      </c>
      <c r="T388" t="str">
        <f t="shared" si="60"/>
        <v>387,393344700000000,2070000000,2129,45</v>
      </c>
    </row>
    <row r="389" spans="1:20" x14ac:dyDescent="0.25">
      <c r="A389">
        <f t="shared" ref="A389:A452" si="69">+A388+1</f>
        <v>388</v>
      </c>
      <c r="B389" s="1">
        <v>397482600000000</v>
      </c>
      <c r="C389" s="1">
        <v>4137900000000</v>
      </c>
      <c r="E389" s="1">
        <f>+S389*10000</f>
        <v>21720300.000000004</v>
      </c>
      <c r="F389" s="1">
        <f t="shared" si="62"/>
        <v>191507.48378245233</v>
      </c>
      <c r="G389" s="1">
        <f t="shared" si="63"/>
        <v>95753.741891226164</v>
      </c>
      <c r="H389" s="1">
        <f t="shared" si="64"/>
        <v>38301.496756490465</v>
      </c>
      <c r="I389" s="1">
        <f t="shared" si="65"/>
        <v>19150.748378245233</v>
      </c>
      <c r="J389" s="1">
        <f t="shared" si="66"/>
        <v>12767.165585496821</v>
      </c>
      <c r="K389" s="1">
        <f t="shared" si="67"/>
        <v>6383.5827927484106</v>
      </c>
      <c r="L389" s="1">
        <f t="shared" si="68"/>
        <v>1915.0748378245232</v>
      </c>
      <c r="M389" s="4">
        <f t="shared" si="61"/>
        <v>2080000000</v>
      </c>
      <c r="N389" s="4"/>
      <c r="O389" s="8"/>
      <c r="P389">
        <v>388</v>
      </c>
      <c r="Q389" s="1">
        <v>397482600000000</v>
      </c>
      <c r="R389" s="4">
        <v>2080000000</v>
      </c>
      <c r="S389">
        <f>ROUND(1.02^A389,2)</f>
        <v>2172.0300000000002</v>
      </c>
      <c r="T389" t="str">
        <f t="shared" si="60"/>
        <v>388,397482600000000,2080000000,2172,03</v>
      </c>
    </row>
    <row r="390" spans="1:20" x14ac:dyDescent="0.25">
      <c r="A390">
        <f t="shared" si="69"/>
        <v>389</v>
      </c>
      <c r="B390" s="1">
        <v>401642200000000</v>
      </c>
      <c r="C390" s="1">
        <v>4159600000000</v>
      </c>
      <c r="E390" s="1">
        <f>+S390*10000</f>
        <v>22154699.999999996</v>
      </c>
      <c r="F390" s="1">
        <f t="shared" si="62"/>
        <v>188731.96206673983</v>
      </c>
      <c r="G390" s="1">
        <f t="shared" si="63"/>
        <v>94365.981033369913</v>
      </c>
      <c r="H390" s="1">
        <f t="shared" si="64"/>
        <v>37746.39241334796</v>
      </c>
      <c r="I390" s="1">
        <f t="shared" si="65"/>
        <v>18873.19620667398</v>
      </c>
      <c r="J390" s="1">
        <f t="shared" si="66"/>
        <v>12582.130804449322</v>
      </c>
      <c r="K390" s="1">
        <f t="shared" si="67"/>
        <v>6291.0654022246608</v>
      </c>
      <c r="L390" s="1">
        <f t="shared" si="68"/>
        <v>1887.3196206673983</v>
      </c>
      <c r="M390" s="4">
        <f t="shared" si="61"/>
        <v>2090000000</v>
      </c>
      <c r="N390" s="4"/>
      <c r="O390" s="8"/>
      <c r="P390">
        <v>389</v>
      </c>
      <c r="Q390" s="1">
        <v>401642200000000</v>
      </c>
      <c r="R390" s="4">
        <v>2090000000</v>
      </c>
      <c r="S390">
        <f>ROUND(1.02^A390,2)</f>
        <v>2215.4699999999998</v>
      </c>
      <c r="T390" t="str">
        <f t="shared" si="60"/>
        <v>389,401642200000000,2090000000,2215,47</v>
      </c>
    </row>
    <row r="391" spans="1:20" x14ac:dyDescent="0.25">
      <c r="A391">
        <f t="shared" si="69"/>
        <v>390</v>
      </c>
      <c r="B391" s="1">
        <v>405823500000000</v>
      </c>
      <c r="C391" s="1">
        <v>4181300000000</v>
      </c>
      <c r="E391" s="1">
        <f>+S391*10000</f>
        <v>22597800.000000004</v>
      </c>
      <c r="F391" s="1">
        <f t="shared" si="62"/>
        <v>185991.55670020974</v>
      </c>
      <c r="G391" s="1">
        <f t="shared" si="63"/>
        <v>92995.778350104869</v>
      </c>
      <c r="H391" s="1">
        <f t="shared" si="64"/>
        <v>37198.311340041946</v>
      </c>
      <c r="I391" s="1">
        <f t="shared" si="65"/>
        <v>18599.155670020973</v>
      </c>
      <c r="J391" s="1">
        <f t="shared" si="66"/>
        <v>12399.437113347314</v>
      </c>
      <c r="K391" s="1">
        <f t="shared" si="67"/>
        <v>6199.7185566736571</v>
      </c>
      <c r="L391" s="1">
        <f t="shared" si="68"/>
        <v>1859.9155670020971</v>
      </c>
      <c r="M391" s="4">
        <f t="shared" si="61"/>
        <v>2100000000</v>
      </c>
      <c r="N391" s="4"/>
      <c r="O391" s="8"/>
      <c r="P391">
        <v>390</v>
      </c>
      <c r="Q391" s="1">
        <v>405823500000000</v>
      </c>
      <c r="R391" s="4">
        <v>2100000000</v>
      </c>
      <c r="S391">
        <f>ROUND(1.02^A391,2)</f>
        <v>2259.7800000000002</v>
      </c>
      <c r="T391" t="str">
        <f t="shared" si="60"/>
        <v>390,405823500000000,2100000000,2259,78</v>
      </c>
    </row>
    <row r="392" spans="1:20" x14ac:dyDescent="0.25">
      <c r="A392">
        <f t="shared" si="69"/>
        <v>391</v>
      </c>
      <c r="B392" s="1">
        <v>410026500000000</v>
      </c>
      <c r="C392" s="1">
        <v>4203000000000</v>
      </c>
      <c r="E392" s="1">
        <f>+S392*10000</f>
        <v>23049800</v>
      </c>
      <c r="F392" s="1">
        <f t="shared" si="62"/>
        <v>183285.7551909344</v>
      </c>
      <c r="G392" s="1">
        <f t="shared" si="63"/>
        <v>91642.877595467202</v>
      </c>
      <c r="H392" s="1">
        <f t="shared" si="64"/>
        <v>36657.151038186879</v>
      </c>
      <c r="I392" s="1">
        <f t="shared" si="65"/>
        <v>18328.57551909344</v>
      </c>
      <c r="J392" s="1">
        <f t="shared" si="66"/>
        <v>12219.050346062295</v>
      </c>
      <c r="K392" s="1">
        <f t="shared" si="67"/>
        <v>6109.5251730311475</v>
      </c>
      <c r="L392" s="1">
        <f t="shared" si="68"/>
        <v>1832.857551909344</v>
      </c>
      <c r="M392" s="4">
        <f t="shared" si="61"/>
        <v>2110000000</v>
      </c>
      <c r="N392" s="4"/>
      <c r="O392" s="8"/>
      <c r="P392">
        <v>391</v>
      </c>
      <c r="Q392" s="1">
        <v>410026500000000</v>
      </c>
      <c r="R392" s="4">
        <v>2110000000</v>
      </c>
      <c r="S392">
        <f>ROUND(1.02^A392,2)</f>
        <v>2304.98</v>
      </c>
      <c r="T392" t="str">
        <f t="shared" si="60"/>
        <v>391,410026500000000,2110000000,2304,98</v>
      </c>
    </row>
    <row r="393" spans="1:20" x14ac:dyDescent="0.25">
      <c r="A393">
        <f t="shared" si="69"/>
        <v>392</v>
      </c>
      <c r="B393" s="1">
        <v>414251200000000</v>
      </c>
      <c r="C393" s="1">
        <v>4224700000000</v>
      </c>
      <c r="E393" s="1">
        <f>+S393*10000</f>
        <v>23510800</v>
      </c>
      <c r="F393" s="1">
        <f t="shared" si="62"/>
        <v>180614.8663592902</v>
      </c>
      <c r="G393" s="1">
        <f t="shared" si="63"/>
        <v>90307.433179645101</v>
      </c>
      <c r="H393" s="1">
        <f t="shared" si="64"/>
        <v>36122.973271858042</v>
      </c>
      <c r="I393" s="1">
        <f t="shared" si="65"/>
        <v>18061.486635929021</v>
      </c>
      <c r="J393" s="1">
        <f t="shared" si="66"/>
        <v>12040.991090619347</v>
      </c>
      <c r="K393" s="1">
        <f t="shared" si="67"/>
        <v>6020.4955453096736</v>
      </c>
      <c r="L393" s="1">
        <f t="shared" si="68"/>
        <v>1806.148663592902</v>
      </c>
      <c r="M393" s="4">
        <f t="shared" si="61"/>
        <v>2120000000</v>
      </c>
      <c r="N393" s="4"/>
      <c r="O393" s="8"/>
      <c r="P393">
        <v>392</v>
      </c>
      <c r="Q393" s="1">
        <v>414251200000000</v>
      </c>
      <c r="R393" s="4">
        <v>2120000000</v>
      </c>
      <c r="S393">
        <f>ROUND(1.02^A393,2)</f>
        <v>2351.08</v>
      </c>
      <c r="T393" t="str">
        <f t="shared" si="60"/>
        <v>392,414251200000000,2120000000,2351,08</v>
      </c>
    </row>
    <row r="394" spans="1:20" x14ac:dyDescent="0.25">
      <c r="A394">
        <f t="shared" si="69"/>
        <v>393</v>
      </c>
      <c r="B394" s="1">
        <v>418497600000000</v>
      </c>
      <c r="C394" s="1">
        <v>4246400000000</v>
      </c>
      <c r="E394" s="1">
        <f>+S394*10000</f>
        <v>23981000</v>
      </c>
      <c r="F394" s="1">
        <f t="shared" si="62"/>
        <v>177978.39956632335</v>
      </c>
      <c r="G394" s="1">
        <f t="shared" si="63"/>
        <v>88989.199783161675</v>
      </c>
      <c r="H394" s="1">
        <f t="shared" si="64"/>
        <v>35595.67991326467</v>
      </c>
      <c r="I394" s="1">
        <f t="shared" si="65"/>
        <v>17797.839956632335</v>
      </c>
      <c r="J394" s="1">
        <f t="shared" si="66"/>
        <v>11865.226637754889</v>
      </c>
      <c r="K394" s="1">
        <f t="shared" si="67"/>
        <v>5932.6133188774447</v>
      </c>
      <c r="L394" s="1">
        <f t="shared" si="68"/>
        <v>1779.7839956632333</v>
      </c>
      <c r="M394" s="4">
        <f t="shared" si="61"/>
        <v>2130000000</v>
      </c>
      <c r="N394" s="4"/>
      <c r="O394" s="8"/>
      <c r="P394">
        <v>393</v>
      </c>
      <c r="Q394" s="1">
        <v>418497600000000</v>
      </c>
      <c r="R394" s="4">
        <v>2130000000</v>
      </c>
      <c r="S394">
        <f>ROUND(1.02^A394,2)</f>
        <v>2398.1</v>
      </c>
      <c r="T394" t="str">
        <f t="shared" si="60"/>
        <v>393,418497600000000,2130000000,2398,1</v>
      </c>
    </row>
    <row r="395" spans="1:20" x14ac:dyDescent="0.25">
      <c r="A395">
        <f t="shared" si="69"/>
        <v>394</v>
      </c>
      <c r="B395" s="1">
        <v>422765700000000</v>
      </c>
      <c r="C395" s="1">
        <v>4268100000000</v>
      </c>
      <c r="E395" s="1">
        <f>+S395*10000</f>
        <v>24460600</v>
      </c>
      <c r="F395" s="1">
        <f t="shared" si="62"/>
        <v>175375.91064814437</v>
      </c>
      <c r="G395" s="1">
        <f t="shared" si="63"/>
        <v>87687.955324072187</v>
      </c>
      <c r="H395" s="1">
        <f t="shared" si="64"/>
        <v>35075.182129628869</v>
      </c>
      <c r="I395" s="1">
        <f t="shared" si="65"/>
        <v>17537.591064814435</v>
      </c>
      <c r="J395" s="1">
        <f t="shared" si="66"/>
        <v>11691.727376542958</v>
      </c>
      <c r="K395" s="1">
        <f t="shared" si="67"/>
        <v>5845.8636882714791</v>
      </c>
      <c r="L395" s="1">
        <f t="shared" si="68"/>
        <v>1753.7591064814437</v>
      </c>
      <c r="M395" s="4">
        <f t="shared" si="61"/>
        <v>2140000000</v>
      </c>
      <c r="N395" s="4"/>
      <c r="O395" s="8"/>
      <c r="P395">
        <v>394</v>
      </c>
      <c r="Q395" s="1">
        <v>422765700000000</v>
      </c>
      <c r="R395" s="4">
        <v>2140000000</v>
      </c>
      <c r="S395">
        <f>ROUND(1.02^A395,2)</f>
        <v>2446.06</v>
      </c>
      <c r="T395" t="str">
        <f t="shared" si="60"/>
        <v>394,422765700000000,2140000000,2446,06</v>
      </c>
    </row>
    <row r="396" spans="1:20" x14ac:dyDescent="0.25">
      <c r="A396">
        <f t="shared" si="69"/>
        <v>395</v>
      </c>
      <c r="B396" s="1">
        <v>427055500000000</v>
      </c>
      <c r="C396" s="1">
        <v>4289800000000</v>
      </c>
      <c r="E396" s="1">
        <f>+S396*10000</f>
        <v>24949800</v>
      </c>
      <c r="F396" s="1">
        <f t="shared" si="62"/>
        <v>172806.99644886932</v>
      </c>
      <c r="G396" s="1">
        <f t="shared" si="63"/>
        <v>86403.498224434661</v>
      </c>
      <c r="H396" s="1">
        <f t="shared" si="64"/>
        <v>34561.399289773864</v>
      </c>
      <c r="I396" s="1">
        <f t="shared" si="65"/>
        <v>17280.699644886932</v>
      </c>
      <c r="J396" s="1">
        <f t="shared" si="66"/>
        <v>11520.466429924621</v>
      </c>
      <c r="K396" s="1">
        <f t="shared" si="67"/>
        <v>5760.2332149623107</v>
      </c>
      <c r="L396" s="1">
        <f t="shared" si="68"/>
        <v>1728.0699644886934</v>
      </c>
      <c r="M396" s="4">
        <f t="shared" si="61"/>
        <v>2160000000</v>
      </c>
      <c r="N396" s="4"/>
      <c r="O396" s="8"/>
      <c r="P396">
        <v>395</v>
      </c>
      <c r="Q396" s="1">
        <v>427055500000000</v>
      </c>
      <c r="R396" s="4">
        <v>2160000000</v>
      </c>
      <c r="S396">
        <f>ROUND(1.02^A396,2)</f>
        <v>2494.98</v>
      </c>
      <c r="T396" t="str">
        <f t="shared" si="60"/>
        <v>395,427055500000000,2160000000,2494,98</v>
      </c>
    </row>
    <row r="397" spans="1:20" x14ac:dyDescent="0.25">
      <c r="A397">
        <f t="shared" si="69"/>
        <v>396</v>
      </c>
      <c r="B397" s="1">
        <v>431367000000000</v>
      </c>
      <c r="C397" s="1">
        <v>4311500000000</v>
      </c>
      <c r="E397" s="1">
        <f>+S397*10000</f>
        <v>25448800</v>
      </c>
      <c r="F397" s="1">
        <f t="shared" si="62"/>
        <v>170271.28980541322</v>
      </c>
      <c r="G397" s="1">
        <f t="shared" si="63"/>
        <v>85135.644902706612</v>
      </c>
      <c r="H397" s="1">
        <f t="shared" si="64"/>
        <v>34054.257961082643</v>
      </c>
      <c r="I397" s="1">
        <f t="shared" si="65"/>
        <v>17027.128980541322</v>
      </c>
      <c r="J397" s="1">
        <f t="shared" si="66"/>
        <v>11351.419320360881</v>
      </c>
      <c r="K397" s="1">
        <f t="shared" si="67"/>
        <v>5675.7096601804406</v>
      </c>
      <c r="L397" s="1">
        <f t="shared" si="68"/>
        <v>1702.7128980541322</v>
      </c>
      <c r="M397" s="4">
        <f t="shared" si="61"/>
        <v>2170000000</v>
      </c>
      <c r="N397" s="4"/>
      <c r="O397" s="8"/>
      <c r="P397">
        <v>396</v>
      </c>
      <c r="Q397" s="1">
        <v>431367000000000</v>
      </c>
      <c r="R397" s="4">
        <v>2170000000</v>
      </c>
      <c r="S397">
        <f>ROUND(1.02^A397,2)</f>
        <v>2544.88</v>
      </c>
      <c r="T397" t="str">
        <f t="shared" si="60"/>
        <v>396,431367000000000,2170000000,2544,88</v>
      </c>
    </row>
    <row r="398" spans="1:20" x14ac:dyDescent="0.25">
      <c r="A398">
        <f t="shared" si="69"/>
        <v>397</v>
      </c>
      <c r="B398" s="1">
        <v>435700200000000</v>
      </c>
      <c r="C398" s="1">
        <v>4333200000000</v>
      </c>
      <c r="E398" s="1">
        <f>+S398*10000</f>
        <v>25957800.000000004</v>
      </c>
      <c r="F398" s="1">
        <f t="shared" si="62"/>
        <v>167768.45495380962</v>
      </c>
      <c r="G398" s="1">
        <f t="shared" si="63"/>
        <v>83884.227476904809</v>
      </c>
      <c r="H398" s="1">
        <f t="shared" si="64"/>
        <v>33553.690990761927</v>
      </c>
      <c r="I398" s="1">
        <f t="shared" si="65"/>
        <v>16776.845495380963</v>
      </c>
      <c r="J398" s="1">
        <f t="shared" si="66"/>
        <v>11184.563663587309</v>
      </c>
      <c r="K398" s="1">
        <f t="shared" si="67"/>
        <v>5592.2818317936544</v>
      </c>
      <c r="L398" s="1">
        <f t="shared" si="68"/>
        <v>1677.6845495380962</v>
      </c>
      <c r="M398" s="4">
        <f t="shared" si="61"/>
        <v>2180000000</v>
      </c>
      <c r="N398" s="4"/>
      <c r="O398" s="8"/>
      <c r="P398">
        <v>397</v>
      </c>
      <c r="Q398" s="1">
        <v>435700200000000</v>
      </c>
      <c r="R398" s="4">
        <v>2180000000</v>
      </c>
      <c r="S398">
        <f>ROUND(1.02^A398,2)</f>
        <v>2595.7800000000002</v>
      </c>
      <c r="T398" t="str">
        <f t="shared" si="60"/>
        <v>397,435700200000000,2180000000,2595,78</v>
      </c>
    </row>
    <row r="399" spans="1:20" x14ac:dyDescent="0.25">
      <c r="A399">
        <f t="shared" si="69"/>
        <v>398</v>
      </c>
      <c r="B399" s="1">
        <v>440055100000000</v>
      </c>
      <c r="C399" s="1">
        <v>4354900000000</v>
      </c>
      <c r="E399" s="1">
        <f>+S399*10000</f>
        <v>26477000</v>
      </c>
      <c r="F399" s="1">
        <f t="shared" si="62"/>
        <v>165298.183328927</v>
      </c>
      <c r="G399" s="1">
        <f t="shared" si="63"/>
        <v>82649.0916644635</v>
      </c>
      <c r="H399" s="1">
        <f t="shared" si="64"/>
        <v>33059.636665785401</v>
      </c>
      <c r="I399" s="1">
        <f t="shared" si="65"/>
        <v>16529.818332892701</v>
      </c>
      <c r="J399" s="1">
        <f t="shared" si="66"/>
        <v>11019.878888595133</v>
      </c>
      <c r="K399" s="1">
        <f t="shared" si="67"/>
        <v>5509.9394442975663</v>
      </c>
      <c r="L399" s="1">
        <f t="shared" si="68"/>
        <v>1652.9818332892698</v>
      </c>
      <c r="M399" s="4">
        <f t="shared" si="61"/>
        <v>2190000000</v>
      </c>
      <c r="N399" s="4"/>
      <c r="O399" s="8"/>
      <c r="P399">
        <v>398</v>
      </c>
      <c r="Q399" s="1">
        <v>440055100000000</v>
      </c>
      <c r="R399" s="4">
        <v>2190000000</v>
      </c>
      <c r="S399">
        <f>ROUND(1.02^A399,2)</f>
        <v>2647.7</v>
      </c>
      <c r="T399" t="str">
        <f t="shared" si="60"/>
        <v>398,440055100000000,2190000000,2647,7</v>
      </c>
    </row>
    <row r="400" spans="1:20" x14ac:dyDescent="0.25">
      <c r="A400">
        <f t="shared" si="69"/>
        <v>399</v>
      </c>
      <c r="B400" s="1">
        <v>444431700000000</v>
      </c>
      <c r="C400" s="1">
        <v>4376600000000</v>
      </c>
      <c r="E400" s="1">
        <f>+S400*10000</f>
        <v>27006500</v>
      </c>
      <c r="F400" s="1">
        <f t="shared" si="62"/>
        <v>162860.79277211041</v>
      </c>
      <c r="G400" s="1">
        <f t="shared" si="63"/>
        <v>81430.396386055203</v>
      </c>
      <c r="H400" s="1">
        <f t="shared" si="64"/>
        <v>32572.158554422083</v>
      </c>
      <c r="I400" s="1">
        <f t="shared" si="65"/>
        <v>16286.079277211042</v>
      </c>
      <c r="J400" s="1">
        <f t="shared" si="66"/>
        <v>10857.386184807361</v>
      </c>
      <c r="K400" s="1">
        <f t="shared" si="67"/>
        <v>5428.6930924036806</v>
      </c>
      <c r="L400" s="1">
        <f t="shared" si="68"/>
        <v>1628.6079277211043</v>
      </c>
      <c r="M400" s="4">
        <f t="shared" si="61"/>
        <v>2200000000</v>
      </c>
      <c r="N400" s="4"/>
      <c r="O400" s="8"/>
      <c r="P400">
        <v>399</v>
      </c>
      <c r="Q400" s="1">
        <v>444431700000000</v>
      </c>
      <c r="R400" s="4">
        <v>2200000000</v>
      </c>
      <c r="S400">
        <f>ROUND(1.02^A400,2)</f>
        <v>2700.65</v>
      </c>
      <c r="T400" t="str">
        <f t="shared" si="60"/>
        <v>399,444431700000000,2200000000,2700,65</v>
      </c>
    </row>
    <row r="401" spans="1:20" x14ac:dyDescent="0.25">
      <c r="A401">
        <f t="shared" si="69"/>
        <v>400</v>
      </c>
      <c r="B401" s="1">
        <v>448830000000000</v>
      </c>
      <c r="C401" s="1">
        <v>4398300000000</v>
      </c>
      <c r="E401" s="1">
        <f>+S401*10000</f>
        <v>27546600</v>
      </c>
      <c r="F401" s="1">
        <f t="shared" si="62"/>
        <v>160455.37380293757</v>
      </c>
      <c r="G401" s="1">
        <f t="shared" si="63"/>
        <v>80227.686901468784</v>
      </c>
      <c r="H401" s="1">
        <f t="shared" si="64"/>
        <v>32091.074760587515</v>
      </c>
      <c r="I401" s="1">
        <f t="shared" si="65"/>
        <v>16045.537380293757</v>
      </c>
      <c r="J401" s="1">
        <f t="shared" si="66"/>
        <v>10697.024920195838</v>
      </c>
      <c r="K401" s="1">
        <f t="shared" si="67"/>
        <v>5348.5124600979188</v>
      </c>
      <c r="L401" s="1">
        <f t="shared" si="68"/>
        <v>1604.5537380293756</v>
      </c>
      <c r="M401" s="4">
        <f t="shared" si="61"/>
        <v>2210000000</v>
      </c>
      <c r="N401" s="4"/>
      <c r="O401" s="8"/>
      <c r="P401">
        <v>400</v>
      </c>
      <c r="Q401" s="1">
        <v>448830000000000</v>
      </c>
      <c r="R401" s="4">
        <v>2210000000</v>
      </c>
      <c r="S401">
        <f>ROUND(1.02^A401,2)</f>
        <v>2754.66</v>
      </c>
      <c r="T401" t="str">
        <f t="shared" si="60"/>
        <v>400,448830000000000,2210000000,2754,66</v>
      </c>
    </row>
    <row r="402" spans="1:20" x14ac:dyDescent="0.25">
      <c r="A402">
        <f t="shared" si="69"/>
        <v>401</v>
      </c>
      <c r="B402" s="1">
        <v>453250000000000</v>
      </c>
      <c r="C402" s="1">
        <v>4420000000000</v>
      </c>
      <c r="E402" s="1">
        <f>+S402*10000</f>
        <v>28097600.000000004</v>
      </c>
      <c r="F402" s="1">
        <f t="shared" si="62"/>
        <v>158081.11724844825</v>
      </c>
      <c r="G402" s="1">
        <f t="shared" si="63"/>
        <v>79040.558624224126</v>
      </c>
      <c r="H402" s="1">
        <f t="shared" si="64"/>
        <v>31616.223449689645</v>
      </c>
      <c r="I402" s="1">
        <f t="shared" si="65"/>
        <v>15808.111724844823</v>
      </c>
      <c r="J402" s="1">
        <f t="shared" si="66"/>
        <v>10538.74114989655</v>
      </c>
      <c r="K402" s="1">
        <f t="shared" si="67"/>
        <v>5269.3705749482751</v>
      </c>
      <c r="L402" s="1">
        <f t="shared" si="68"/>
        <v>1580.8111724844823</v>
      </c>
      <c r="M402" s="4">
        <f t="shared" si="61"/>
        <v>2220000000</v>
      </c>
      <c r="N402" s="4"/>
      <c r="O402" s="8"/>
      <c r="P402">
        <v>401</v>
      </c>
      <c r="Q402" s="1">
        <v>453250000000000</v>
      </c>
      <c r="R402" s="4">
        <v>2220000000</v>
      </c>
      <c r="S402">
        <f>ROUND(1.02^A402,2)</f>
        <v>2809.76</v>
      </c>
      <c r="T402" t="str">
        <f t="shared" si="60"/>
        <v>401,453250000000000,2220000000,2809,76</v>
      </c>
    </row>
    <row r="403" spans="1:20" x14ac:dyDescent="0.25">
      <c r="A403">
        <f t="shared" si="69"/>
        <v>402</v>
      </c>
      <c r="B403" s="1">
        <v>457691700000000</v>
      </c>
      <c r="C403" s="1">
        <v>4441700000000</v>
      </c>
      <c r="E403" s="1">
        <f>+S403*10000</f>
        <v>28659500</v>
      </c>
      <c r="F403" s="1">
        <f t="shared" si="62"/>
        <v>155738.93473368342</v>
      </c>
      <c r="G403" s="1">
        <f t="shared" si="63"/>
        <v>77869.467366841709</v>
      </c>
      <c r="H403" s="1">
        <f t="shared" si="64"/>
        <v>31147.786946736684</v>
      </c>
      <c r="I403" s="1">
        <f t="shared" si="65"/>
        <v>15573.893473368342</v>
      </c>
      <c r="J403" s="1">
        <f t="shared" si="66"/>
        <v>10382.595648912227</v>
      </c>
      <c r="K403" s="1">
        <f t="shared" si="67"/>
        <v>5191.2978244561136</v>
      </c>
      <c r="L403" s="1">
        <f t="shared" si="68"/>
        <v>1557.3893473368341</v>
      </c>
      <c r="M403" s="4">
        <f t="shared" si="61"/>
        <v>2230000000</v>
      </c>
      <c r="N403" s="4"/>
      <c r="O403" s="8"/>
      <c r="P403">
        <v>402</v>
      </c>
      <c r="Q403" s="1">
        <v>457691700000000</v>
      </c>
      <c r="R403" s="4">
        <v>2230000000</v>
      </c>
      <c r="S403">
        <f>ROUND(1.02^A403,2)</f>
        <v>2865.95</v>
      </c>
      <c r="T403" t="str">
        <f t="shared" si="60"/>
        <v>402,457691700000000,2230000000,2865,95</v>
      </c>
    </row>
    <row r="404" spans="1:20" x14ac:dyDescent="0.25">
      <c r="A404">
        <f t="shared" si="69"/>
        <v>403</v>
      </c>
      <c r="B404" s="1">
        <v>462155100000000</v>
      </c>
      <c r="C404" s="1">
        <v>4463400000000</v>
      </c>
      <c r="E404" s="1">
        <f>+S404*10000</f>
        <v>29232700</v>
      </c>
      <c r="F404" s="1">
        <f t="shared" si="62"/>
        <v>153427.49728899487</v>
      </c>
      <c r="G404" s="1">
        <f t="shared" si="63"/>
        <v>76713.748644497435</v>
      </c>
      <c r="H404" s="1">
        <f t="shared" si="64"/>
        <v>30685.499457798971</v>
      </c>
      <c r="I404" s="1">
        <f t="shared" si="65"/>
        <v>15342.749728899485</v>
      </c>
      <c r="J404" s="1">
        <f t="shared" si="66"/>
        <v>10228.499819266324</v>
      </c>
      <c r="K404" s="1">
        <f t="shared" si="67"/>
        <v>5114.2499096331621</v>
      </c>
      <c r="L404" s="1">
        <f t="shared" si="68"/>
        <v>1534.2749728899487</v>
      </c>
      <c r="M404" s="4">
        <f t="shared" si="61"/>
        <v>2240000000</v>
      </c>
      <c r="N404" s="4"/>
      <c r="O404" s="8"/>
      <c r="P404">
        <v>403</v>
      </c>
      <c r="Q404" s="1">
        <v>462155100000000</v>
      </c>
      <c r="R404" s="4">
        <v>2240000000</v>
      </c>
      <c r="S404">
        <f>ROUND(1.02^A404,2)</f>
        <v>2923.27</v>
      </c>
      <c r="T404" t="str">
        <f t="shared" si="60"/>
        <v>403,462155100000000,2240000000,2923,27</v>
      </c>
    </row>
    <row r="405" spans="1:20" x14ac:dyDescent="0.25">
      <c r="A405">
        <f t="shared" si="69"/>
        <v>404</v>
      </c>
      <c r="B405" s="1">
        <v>466640200000000</v>
      </c>
      <c r="C405" s="1">
        <v>4485100000000</v>
      </c>
      <c r="E405" s="1">
        <f>+S405*10000</f>
        <v>29817399.999999996</v>
      </c>
      <c r="F405" s="1">
        <f t="shared" si="62"/>
        <v>151146.64591815518</v>
      </c>
      <c r="G405" s="1">
        <f t="shared" si="63"/>
        <v>75573.322959077588</v>
      </c>
      <c r="H405" s="1">
        <f t="shared" si="64"/>
        <v>30229.329183631042</v>
      </c>
      <c r="I405" s="1">
        <f t="shared" si="65"/>
        <v>15114.664591815521</v>
      </c>
      <c r="J405" s="1">
        <f t="shared" si="66"/>
        <v>10076.443061210346</v>
      </c>
      <c r="K405" s="1">
        <f t="shared" si="67"/>
        <v>5038.221530605173</v>
      </c>
      <c r="L405" s="1">
        <f t="shared" si="68"/>
        <v>1511.466459181552</v>
      </c>
      <c r="M405" s="4">
        <f t="shared" si="61"/>
        <v>2250000000</v>
      </c>
      <c r="N405" s="4"/>
      <c r="O405" s="8"/>
      <c r="P405">
        <v>404</v>
      </c>
      <c r="Q405" s="1">
        <v>466640200000000</v>
      </c>
      <c r="R405" s="4">
        <v>2250000000</v>
      </c>
      <c r="S405">
        <f>ROUND(1.02^A405,2)</f>
        <v>2981.74</v>
      </c>
      <c r="T405" t="str">
        <f t="shared" si="60"/>
        <v>404,466640200000000,2250000000,2981,74</v>
      </c>
    </row>
    <row r="406" spans="1:20" x14ac:dyDescent="0.25">
      <c r="A406">
        <f t="shared" si="69"/>
        <v>405</v>
      </c>
      <c r="B406" s="1">
        <v>471147000000000</v>
      </c>
      <c r="C406" s="1">
        <v>4506800000000</v>
      </c>
      <c r="E406" s="1">
        <f>+S406*10000</f>
        <v>30413700</v>
      </c>
      <c r="F406" s="1">
        <f t="shared" si="62"/>
        <v>148896.71430966965</v>
      </c>
      <c r="G406" s="1">
        <f t="shared" si="63"/>
        <v>74448.357154834826</v>
      </c>
      <c r="H406" s="1">
        <f t="shared" si="64"/>
        <v>29779.342861933932</v>
      </c>
      <c r="I406" s="1">
        <f t="shared" si="65"/>
        <v>14889.671430966966</v>
      </c>
      <c r="J406" s="1">
        <f t="shared" si="66"/>
        <v>9926.4476206446434</v>
      </c>
      <c r="K406" s="1">
        <f t="shared" si="67"/>
        <v>4963.2238103223217</v>
      </c>
      <c r="L406" s="1">
        <f t="shared" si="68"/>
        <v>1488.9671430966966</v>
      </c>
      <c r="M406" s="4">
        <f t="shared" si="61"/>
        <v>2260000000</v>
      </c>
      <c r="N406" s="4"/>
      <c r="O406" s="8"/>
      <c r="P406">
        <v>405</v>
      </c>
      <c r="Q406" s="1">
        <v>471147000000000</v>
      </c>
      <c r="R406" s="4">
        <v>2260000000</v>
      </c>
      <c r="S406">
        <f>ROUND(1.02^A406,2)</f>
        <v>3041.37</v>
      </c>
      <c r="T406" t="str">
        <f t="shared" si="60"/>
        <v>405,471147000000000,2260000000,3041,37</v>
      </c>
    </row>
    <row r="407" spans="1:20" x14ac:dyDescent="0.25">
      <c r="A407">
        <f t="shared" si="69"/>
        <v>406</v>
      </c>
      <c r="B407" s="1">
        <v>475675500000000</v>
      </c>
      <c r="C407" s="1">
        <v>4528500000000</v>
      </c>
      <c r="E407" s="1">
        <f>+S407*10000</f>
        <v>31022000</v>
      </c>
      <c r="F407" s="1">
        <f t="shared" si="62"/>
        <v>146676.55212429888</v>
      </c>
      <c r="G407" s="1">
        <f t="shared" si="63"/>
        <v>73338.276062149438</v>
      </c>
      <c r="H407" s="1">
        <f t="shared" si="64"/>
        <v>29335.310424859777</v>
      </c>
      <c r="I407" s="1">
        <f t="shared" si="65"/>
        <v>14667.655212429889</v>
      </c>
      <c r="J407" s="1">
        <f t="shared" si="66"/>
        <v>9778.4368082865931</v>
      </c>
      <c r="K407" s="1">
        <f t="shared" si="67"/>
        <v>4889.2184041432965</v>
      </c>
      <c r="L407" s="1">
        <f t="shared" si="68"/>
        <v>1466.7655212429888</v>
      </c>
      <c r="M407" s="4">
        <f t="shared" si="61"/>
        <v>2280000000</v>
      </c>
      <c r="N407" s="4"/>
      <c r="O407" s="8"/>
      <c r="P407">
        <v>406</v>
      </c>
      <c r="Q407" s="1">
        <v>475675500000000</v>
      </c>
      <c r="R407" s="4">
        <v>2280000000</v>
      </c>
      <c r="S407">
        <f>ROUND(1.02^A407,2)</f>
        <v>3102.2</v>
      </c>
      <c r="T407" t="str">
        <f t="shared" si="60"/>
        <v>406,475675500000000,2280000000,3102,2</v>
      </c>
    </row>
    <row r="408" spans="1:20" x14ac:dyDescent="0.25">
      <c r="A408">
        <f t="shared" si="69"/>
        <v>407</v>
      </c>
      <c r="B408" s="1">
        <v>480225700000000</v>
      </c>
      <c r="C408" s="1">
        <v>4550200000000</v>
      </c>
      <c r="E408" s="1">
        <f>+S408*10000</f>
        <v>31642399.999999996</v>
      </c>
      <c r="F408" s="1">
        <f t="shared" si="62"/>
        <v>144486.51176901881</v>
      </c>
      <c r="G408" s="1">
        <f t="shared" si="63"/>
        <v>72243.255884509403</v>
      </c>
      <c r="H408" s="1">
        <f t="shared" si="64"/>
        <v>28897.302353803763</v>
      </c>
      <c r="I408" s="1">
        <f t="shared" si="65"/>
        <v>14448.651176901882</v>
      </c>
      <c r="J408" s="1">
        <f t="shared" si="66"/>
        <v>9632.4341179345865</v>
      </c>
      <c r="K408" s="1">
        <f t="shared" si="67"/>
        <v>4816.2170589672933</v>
      </c>
      <c r="L408" s="1">
        <f t="shared" si="68"/>
        <v>1444.8651176901881</v>
      </c>
      <c r="M408" s="4">
        <f t="shared" si="61"/>
        <v>2290000000</v>
      </c>
      <c r="N408" s="4"/>
      <c r="O408" s="8"/>
      <c r="P408">
        <v>407</v>
      </c>
      <c r="Q408" s="1">
        <v>480225700000000</v>
      </c>
      <c r="R408" s="4">
        <v>2290000000</v>
      </c>
      <c r="S408">
        <f>ROUND(1.02^A408,2)</f>
        <v>3164.24</v>
      </c>
      <c r="T408" t="str">
        <f t="shared" si="60"/>
        <v>407,480225700000000,2290000000,3164,24</v>
      </c>
    </row>
    <row r="409" spans="1:20" x14ac:dyDescent="0.25">
      <c r="A409">
        <f t="shared" si="69"/>
        <v>408</v>
      </c>
      <c r="B409" s="1">
        <v>484797600000000</v>
      </c>
      <c r="C409" s="1">
        <v>4571900000000</v>
      </c>
      <c r="E409" s="1">
        <f>+S409*10000</f>
        <v>32275300.000000004</v>
      </c>
      <c r="F409" s="1">
        <f t="shared" si="62"/>
        <v>142325.55545571999</v>
      </c>
      <c r="G409" s="1">
        <f t="shared" si="63"/>
        <v>71162.777727859997</v>
      </c>
      <c r="H409" s="1">
        <f t="shared" si="64"/>
        <v>28465.111091143997</v>
      </c>
      <c r="I409" s="1">
        <f t="shared" si="65"/>
        <v>14232.555545571999</v>
      </c>
      <c r="J409" s="1">
        <f t="shared" si="66"/>
        <v>9488.3703637146664</v>
      </c>
      <c r="K409" s="1">
        <f t="shared" si="67"/>
        <v>4744.1851818573332</v>
      </c>
      <c r="L409" s="1">
        <f t="shared" si="68"/>
        <v>1423.2555545572</v>
      </c>
      <c r="M409" s="4">
        <f t="shared" si="61"/>
        <v>2300000000</v>
      </c>
      <c r="N409" s="4"/>
      <c r="O409" s="8"/>
      <c r="P409">
        <v>408</v>
      </c>
      <c r="Q409" s="1">
        <v>484797600000000</v>
      </c>
      <c r="R409" s="4">
        <v>2300000000</v>
      </c>
      <c r="S409">
        <f>ROUND(1.02^A409,2)</f>
        <v>3227.53</v>
      </c>
      <c r="T409" t="str">
        <f t="shared" si="60"/>
        <v>408,484797600000000,2300000000,3227,53</v>
      </c>
    </row>
    <row r="410" spans="1:20" x14ac:dyDescent="0.25">
      <c r="A410">
        <f t="shared" si="69"/>
        <v>409</v>
      </c>
      <c r="B410" s="1">
        <v>489391200000000</v>
      </c>
      <c r="C410" s="1">
        <v>4593600000000</v>
      </c>
      <c r="E410" s="1">
        <f>+S410*10000</f>
        <v>32920800</v>
      </c>
      <c r="F410" s="1">
        <f t="shared" si="62"/>
        <v>140194.04145707274</v>
      </c>
      <c r="G410" s="1">
        <f t="shared" si="63"/>
        <v>70097.020728536372</v>
      </c>
      <c r="H410" s="1">
        <f t="shared" si="64"/>
        <v>28038.808291414545</v>
      </c>
      <c r="I410" s="1">
        <f t="shared" si="65"/>
        <v>14019.404145707273</v>
      </c>
      <c r="J410" s="1">
        <f t="shared" si="66"/>
        <v>9346.2694304715151</v>
      </c>
      <c r="K410" s="1">
        <f t="shared" si="67"/>
        <v>4673.1347152357575</v>
      </c>
      <c r="L410" s="1">
        <f t="shared" si="68"/>
        <v>1401.9404145707274</v>
      </c>
      <c r="M410" s="4">
        <f t="shared" si="61"/>
        <v>2310000000</v>
      </c>
      <c r="N410" s="4"/>
      <c r="O410" s="8"/>
      <c r="P410">
        <v>409</v>
      </c>
      <c r="Q410" s="1">
        <v>489391200000000</v>
      </c>
      <c r="R410" s="4">
        <v>2310000000</v>
      </c>
      <c r="S410">
        <f>ROUND(1.02^A410,2)</f>
        <v>3292.08</v>
      </c>
      <c r="T410" t="str">
        <f t="shared" si="60"/>
        <v>409,489391200000000,2310000000,3292,08</v>
      </c>
    </row>
    <row r="411" spans="1:20" x14ac:dyDescent="0.25">
      <c r="A411">
        <f t="shared" si="69"/>
        <v>410</v>
      </c>
      <c r="B411" s="1">
        <v>494006500000000</v>
      </c>
      <c r="C411" s="1">
        <v>4615300000000</v>
      </c>
      <c r="E411" s="1">
        <f>+S411*10000</f>
        <v>33579200</v>
      </c>
      <c r="F411" s="1">
        <f t="shared" si="62"/>
        <v>138091.43755658265</v>
      </c>
      <c r="G411" s="1">
        <f t="shared" si="63"/>
        <v>69045.718778291324</v>
      </c>
      <c r="H411" s="1">
        <f t="shared" si="64"/>
        <v>27618.287511316528</v>
      </c>
      <c r="I411" s="1">
        <f t="shared" si="65"/>
        <v>13809.143755658264</v>
      </c>
      <c r="J411" s="1">
        <f t="shared" si="66"/>
        <v>9206.0958371055094</v>
      </c>
      <c r="K411" s="1">
        <f t="shared" si="67"/>
        <v>4603.0479185527547</v>
      </c>
      <c r="L411" s="1">
        <f t="shared" si="68"/>
        <v>1380.9143755658265</v>
      </c>
      <c r="M411" s="4">
        <f t="shared" si="61"/>
        <v>2320000000</v>
      </c>
      <c r="N411" s="4"/>
      <c r="O411" s="8"/>
      <c r="P411">
        <v>410</v>
      </c>
      <c r="Q411" s="1">
        <v>494006500000000</v>
      </c>
      <c r="R411" s="4">
        <v>2320000000</v>
      </c>
      <c r="S411">
        <f>ROUND(1.02^A411,2)</f>
        <v>3357.92</v>
      </c>
      <c r="T411" t="str">
        <f t="shared" si="60"/>
        <v>410,494006500000000,2320000000,3357,92</v>
      </c>
    </row>
    <row r="412" spans="1:20" x14ac:dyDescent="0.25">
      <c r="A412">
        <f t="shared" si="69"/>
        <v>411</v>
      </c>
      <c r="B412" s="1">
        <v>498643500000000</v>
      </c>
      <c r="C412" s="1">
        <v>4637000000000</v>
      </c>
      <c r="E412" s="1">
        <f>+S412*10000</f>
        <v>34250800</v>
      </c>
      <c r="F412" s="1">
        <f t="shared" si="62"/>
        <v>136017.26091069405</v>
      </c>
      <c r="G412" s="1">
        <f t="shared" si="63"/>
        <v>68008.630455347025</v>
      </c>
      <c r="H412" s="1">
        <f t="shared" si="64"/>
        <v>27203.452182138812</v>
      </c>
      <c r="I412" s="1">
        <f t="shared" si="65"/>
        <v>13601.726091069406</v>
      </c>
      <c r="J412" s="1">
        <f t="shared" si="66"/>
        <v>9067.8173940462711</v>
      </c>
      <c r="K412" s="1">
        <f t="shared" si="67"/>
        <v>4533.9086970231356</v>
      </c>
      <c r="L412" s="1">
        <f t="shared" si="68"/>
        <v>1360.1726091069406</v>
      </c>
      <c r="M412" s="4">
        <f t="shared" si="61"/>
        <v>2330000000</v>
      </c>
      <c r="N412" s="4"/>
      <c r="O412" s="8"/>
      <c r="P412">
        <v>411</v>
      </c>
      <c r="Q412" s="1">
        <v>498643500000000</v>
      </c>
      <c r="R412" s="4">
        <v>2330000000</v>
      </c>
      <c r="S412">
        <f>ROUND(1.02^A412,2)</f>
        <v>3425.08</v>
      </c>
      <c r="T412" t="str">
        <f t="shared" si="60"/>
        <v>411,498643500000000,2330000000,3425,08</v>
      </c>
    </row>
    <row r="413" spans="1:20" x14ac:dyDescent="0.25">
      <c r="A413">
        <f t="shared" si="69"/>
        <v>412</v>
      </c>
      <c r="B413" s="1">
        <v>503302200000000</v>
      </c>
      <c r="C413" s="1">
        <v>4658700000000</v>
      </c>
      <c r="E413" s="1">
        <f>+S413*10000</f>
        <v>34935800</v>
      </c>
      <c r="F413" s="1">
        <f t="shared" si="62"/>
        <v>133971.45621396962</v>
      </c>
      <c r="G413" s="1">
        <f t="shared" si="63"/>
        <v>66985.72810698481</v>
      </c>
      <c r="H413" s="1">
        <f t="shared" si="64"/>
        <v>26794.291242793926</v>
      </c>
      <c r="I413" s="1">
        <f t="shared" si="65"/>
        <v>13397.145621396963</v>
      </c>
      <c r="J413" s="1">
        <f t="shared" si="66"/>
        <v>8931.4304142646415</v>
      </c>
      <c r="K413" s="1">
        <f t="shared" si="67"/>
        <v>4465.7152071323208</v>
      </c>
      <c r="L413" s="1">
        <f t="shared" si="68"/>
        <v>1339.7145621396962</v>
      </c>
      <c r="M413" s="4">
        <f t="shared" si="61"/>
        <v>2340000000</v>
      </c>
      <c r="N413" s="4"/>
      <c r="O413" s="8"/>
      <c r="P413">
        <v>412</v>
      </c>
      <c r="Q413" s="1">
        <v>503302200000000</v>
      </c>
      <c r="R413" s="4">
        <v>2340000000</v>
      </c>
      <c r="S413">
        <f>ROUND(1.02^A413,2)</f>
        <v>3493.58</v>
      </c>
      <c r="T413" t="str">
        <f t="shared" si="60"/>
        <v>412,503302200000000,2340000000,3493,58</v>
      </c>
    </row>
    <row r="414" spans="1:20" x14ac:dyDescent="0.25">
      <c r="A414">
        <f t="shared" si="69"/>
        <v>413</v>
      </c>
      <c r="B414" s="1">
        <v>507982600000000</v>
      </c>
      <c r="C414" s="1">
        <v>4680400000000</v>
      </c>
      <c r="E414" s="1">
        <f>+S414*10000</f>
        <v>35634500</v>
      </c>
      <c r="F414" s="1">
        <f t="shared" si="62"/>
        <v>131953.58430734259</v>
      </c>
      <c r="G414" s="1">
        <f t="shared" si="63"/>
        <v>65976.792153671297</v>
      </c>
      <c r="H414" s="1">
        <f t="shared" si="64"/>
        <v>26390.716861468522</v>
      </c>
      <c r="I414" s="1">
        <f t="shared" si="65"/>
        <v>13195.358430734261</v>
      </c>
      <c r="J414" s="1">
        <f t="shared" si="66"/>
        <v>8796.9056204895078</v>
      </c>
      <c r="K414" s="1">
        <f t="shared" si="67"/>
        <v>4398.4528102447539</v>
      </c>
      <c r="L414" s="1">
        <f t="shared" si="68"/>
        <v>1319.5358430734261</v>
      </c>
      <c r="M414" s="4">
        <f t="shared" si="61"/>
        <v>2350000000</v>
      </c>
      <c r="N414" s="4"/>
      <c r="O414" s="8"/>
      <c r="P414">
        <v>413</v>
      </c>
      <c r="Q414" s="1">
        <v>507982600000000</v>
      </c>
      <c r="R414" s="4">
        <v>2350000000</v>
      </c>
      <c r="S414">
        <f>ROUND(1.02^A414,2)</f>
        <v>3563.45</v>
      </c>
      <c r="T414" t="str">
        <f t="shared" si="60"/>
        <v>413,507982600000000,2350000000,3563,45</v>
      </c>
    </row>
    <row r="415" spans="1:20" x14ac:dyDescent="0.25">
      <c r="A415">
        <f t="shared" si="69"/>
        <v>414</v>
      </c>
      <c r="B415" s="1">
        <v>512684700000000</v>
      </c>
      <c r="C415" s="1">
        <v>4702100000000</v>
      </c>
      <c r="E415" s="1">
        <f>+S415*10000</f>
        <v>36347200</v>
      </c>
      <c r="F415" s="1">
        <f t="shared" si="62"/>
        <v>129963.24338601048</v>
      </c>
      <c r="G415" s="1">
        <f t="shared" si="63"/>
        <v>64981.62169300524</v>
      </c>
      <c r="H415" s="1">
        <f t="shared" si="64"/>
        <v>25992.648677202094</v>
      </c>
      <c r="I415" s="1">
        <f t="shared" si="65"/>
        <v>12996.324338601047</v>
      </c>
      <c r="J415" s="1">
        <f t="shared" si="66"/>
        <v>8664.2162257340315</v>
      </c>
      <c r="K415" s="1">
        <f t="shared" si="67"/>
        <v>4332.1081128670157</v>
      </c>
      <c r="L415" s="1">
        <f t="shared" si="68"/>
        <v>1299.6324338601048</v>
      </c>
      <c r="M415" s="4">
        <f t="shared" si="61"/>
        <v>2360000000</v>
      </c>
      <c r="N415" s="4"/>
      <c r="O415" s="8"/>
      <c r="P415">
        <v>414</v>
      </c>
      <c r="Q415" s="1">
        <v>512684700000000</v>
      </c>
      <c r="R415" s="4">
        <v>2360000000</v>
      </c>
      <c r="S415">
        <f>ROUND(1.02^A415,2)</f>
        <v>3634.72</v>
      </c>
      <c r="T415" t="str">
        <f t="shared" si="60"/>
        <v>414,512684700000000,2360000000,3634,72</v>
      </c>
    </row>
    <row r="416" spans="1:20" x14ac:dyDescent="0.25">
      <c r="A416">
        <f t="shared" si="69"/>
        <v>415</v>
      </c>
      <c r="B416" s="1">
        <v>517408500000000</v>
      </c>
      <c r="C416" s="1">
        <v>4723800000000</v>
      </c>
      <c r="E416" s="1">
        <f>+S416*10000</f>
        <v>37074200</v>
      </c>
      <c r="F416" s="1">
        <f t="shared" si="62"/>
        <v>128000.06473504486</v>
      </c>
      <c r="G416" s="1">
        <f t="shared" si="63"/>
        <v>64000.032367522428</v>
      </c>
      <c r="H416" s="1">
        <f t="shared" si="64"/>
        <v>25600.012947008971</v>
      </c>
      <c r="I416" s="1">
        <f t="shared" si="65"/>
        <v>12800.006473504485</v>
      </c>
      <c r="J416" s="1">
        <f t="shared" si="66"/>
        <v>8533.3376490029896</v>
      </c>
      <c r="K416" s="1">
        <f t="shared" si="67"/>
        <v>4266.6688245014948</v>
      </c>
      <c r="L416" s="1">
        <f t="shared" si="68"/>
        <v>1280.0006473504486</v>
      </c>
      <c r="M416" s="4">
        <f t="shared" si="61"/>
        <v>2370000000</v>
      </c>
      <c r="N416" s="4"/>
      <c r="O416" s="8"/>
      <c r="P416">
        <v>415</v>
      </c>
      <c r="Q416" s="1">
        <v>517408500000000</v>
      </c>
      <c r="R416" s="4">
        <v>2370000000</v>
      </c>
      <c r="S416">
        <f>ROUND(1.02^A416,2)</f>
        <v>3707.42</v>
      </c>
      <c r="T416" t="str">
        <f t="shared" si="60"/>
        <v>415,517408500000000,2370000000,3707,42</v>
      </c>
    </row>
    <row r="417" spans="1:20" x14ac:dyDescent="0.25">
      <c r="A417">
        <f t="shared" si="69"/>
        <v>416</v>
      </c>
      <c r="B417" s="1">
        <v>522154000000000</v>
      </c>
      <c r="C417" s="1">
        <v>4745500000000</v>
      </c>
      <c r="E417" s="1">
        <f>+S417*10000</f>
        <v>37815600</v>
      </c>
      <c r="F417" s="1">
        <f t="shared" si="62"/>
        <v>126064.37554871534</v>
      </c>
      <c r="G417" s="1">
        <f t="shared" si="63"/>
        <v>63032.18777435767</v>
      </c>
      <c r="H417" s="1">
        <f t="shared" si="64"/>
        <v>25212.875109743069</v>
      </c>
      <c r="I417" s="1">
        <f t="shared" si="65"/>
        <v>12606.437554871534</v>
      </c>
      <c r="J417" s="1">
        <f t="shared" si="66"/>
        <v>8404.2917032476889</v>
      </c>
      <c r="K417" s="1">
        <f t="shared" si="67"/>
        <v>4202.1458516238445</v>
      </c>
      <c r="L417" s="1">
        <f t="shared" si="68"/>
        <v>1260.6437554871534</v>
      </c>
      <c r="M417" s="4">
        <f t="shared" si="61"/>
        <v>2380000000</v>
      </c>
      <c r="N417" s="4"/>
      <c r="O417" s="8"/>
      <c r="P417">
        <v>416</v>
      </c>
      <c r="Q417" s="1">
        <v>522154000000000</v>
      </c>
      <c r="R417" s="4">
        <v>2380000000</v>
      </c>
      <c r="S417">
        <f>ROUND(1.02^A417,2)</f>
        <v>3781.56</v>
      </c>
      <c r="T417" t="str">
        <f t="shared" si="60"/>
        <v>416,522154000000000,2380000000,3781,56</v>
      </c>
    </row>
    <row r="418" spans="1:20" x14ac:dyDescent="0.25">
      <c r="A418">
        <f t="shared" si="69"/>
        <v>417</v>
      </c>
      <c r="B418" s="1">
        <v>526921200000000</v>
      </c>
      <c r="C418" s="1">
        <v>4767200000000</v>
      </c>
      <c r="E418" s="1">
        <f>+S418*10000</f>
        <v>38572000</v>
      </c>
      <c r="F418" s="1">
        <f t="shared" si="62"/>
        <v>124154.82733589131</v>
      </c>
      <c r="G418" s="1">
        <f t="shared" si="63"/>
        <v>62077.413667945657</v>
      </c>
      <c r="H418" s="1">
        <f t="shared" si="64"/>
        <v>24830.965467178263</v>
      </c>
      <c r="I418" s="1">
        <f t="shared" si="65"/>
        <v>12415.482733589131</v>
      </c>
      <c r="J418" s="1">
        <f t="shared" si="66"/>
        <v>8276.9884890594221</v>
      </c>
      <c r="K418" s="1">
        <f t="shared" si="67"/>
        <v>4138.4942445297111</v>
      </c>
      <c r="L418" s="1">
        <f t="shared" si="68"/>
        <v>1241.5482733589131</v>
      </c>
      <c r="M418" s="4">
        <f t="shared" si="61"/>
        <v>2390000000</v>
      </c>
      <c r="N418" s="4"/>
      <c r="O418" s="8"/>
      <c r="P418">
        <v>417</v>
      </c>
      <c r="Q418" s="1">
        <v>526921200000000</v>
      </c>
      <c r="R418" s="4">
        <v>2390000000</v>
      </c>
      <c r="S418">
        <f>ROUND(1.02^A418,2)</f>
        <v>3857.2</v>
      </c>
      <c r="T418" t="str">
        <f t="shared" si="60"/>
        <v>417,526921200000000,2390000000,3857,2</v>
      </c>
    </row>
    <row r="419" spans="1:20" x14ac:dyDescent="0.25">
      <c r="A419">
        <f t="shared" si="69"/>
        <v>418</v>
      </c>
      <c r="B419" s="1">
        <v>531710100000000</v>
      </c>
      <c r="C419" s="1">
        <v>4788900000000</v>
      </c>
      <c r="E419" s="1">
        <f>+S419*10000</f>
        <v>39343400</v>
      </c>
      <c r="F419" s="1">
        <f t="shared" si="62"/>
        <v>122272.09646344749</v>
      </c>
      <c r="G419" s="1">
        <f t="shared" si="63"/>
        <v>61136.048231723747</v>
      </c>
      <c r="H419" s="1">
        <f t="shared" si="64"/>
        <v>24454.419292689498</v>
      </c>
      <c r="I419" s="1">
        <f t="shared" si="65"/>
        <v>12227.209646344749</v>
      </c>
      <c r="J419" s="1">
        <f t="shared" si="66"/>
        <v>8151.4730975631664</v>
      </c>
      <c r="K419" s="1">
        <f t="shared" si="67"/>
        <v>4075.7365487815832</v>
      </c>
      <c r="L419" s="1">
        <f t="shared" si="68"/>
        <v>1222.720964634475</v>
      </c>
      <c r="M419" s="4">
        <f t="shared" si="61"/>
        <v>2410000000</v>
      </c>
      <c r="N419" s="4"/>
      <c r="O419" s="8"/>
      <c r="P419">
        <v>418</v>
      </c>
      <c r="Q419" s="1">
        <v>531710100000000</v>
      </c>
      <c r="R419" s="4">
        <v>2410000000</v>
      </c>
      <c r="S419">
        <f>ROUND(1.02^A419,2)</f>
        <v>3934.34</v>
      </c>
      <c r="T419" t="str">
        <f t="shared" si="60"/>
        <v>418,531710100000000,2410000000,3934,34</v>
      </c>
    </row>
    <row r="420" spans="1:20" x14ac:dyDescent="0.25">
      <c r="A420">
        <f t="shared" si="69"/>
        <v>419</v>
      </c>
      <c r="B420" s="1">
        <v>536520700000000</v>
      </c>
      <c r="C420" s="1">
        <v>4810600000000</v>
      </c>
      <c r="E420" s="1">
        <f>+S420*10000</f>
        <v>40130300</v>
      </c>
      <c r="F420" s="1">
        <f t="shared" si="62"/>
        <v>120415.2473318166</v>
      </c>
      <c r="G420" s="1">
        <f t="shared" si="63"/>
        <v>60207.623665908301</v>
      </c>
      <c r="H420" s="1">
        <f t="shared" si="64"/>
        <v>24083.049466363322</v>
      </c>
      <c r="I420" s="1">
        <f t="shared" si="65"/>
        <v>12041.524733181661</v>
      </c>
      <c r="J420" s="1">
        <f t="shared" si="66"/>
        <v>8027.6831554544406</v>
      </c>
      <c r="K420" s="1">
        <f t="shared" si="67"/>
        <v>4013.8415777272203</v>
      </c>
      <c r="L420" s="1">
        <f t="shared" si="68"/>
        <v>1204.1524733181661</v>
      </c>
      <c r="M420" s="4">
        <f t="shared" si="61"/>
        <v>2420000000</v>
      </c>
      <c r="N420" s="4"/>
      <c r="O420" s="8"/>
      <c r="P420">
        <v>419</v>
      </c>
      <c r="Q420" s="1">
        <v>536520700000000</v>
      </c>
      <c r="R420" s="4">
        <v>2420000000</v>
      </c>
      <c r="S420">
        <f>ROUND(1.02^A420,2)</f>
        <v>4013.03</v>
      </c>
      <c r="T420" t="str">
        <f t="shared" si="60"/>
        <v>419,536520700000000,2420000000,4013,03</v>
      </c>
    </row>
    <row r="421" spans="1:20" x14ac:dyDescent="0.25">
      <c r="A421">
        <f t="shared" si="69"/>
        <v>420</v>
      </c>
      <c r="B421" s="1">
        <v>541353000000000</v>
      </c>
      <c r="C421" s="1">
        <v>4832300000000</v>
      </c>
      <c r="E421" s="1">
        <f>+S421*10000</f>
        <v>40932900</v>
      </c>
      <c r="F421" s="1">
        <f t="shared" si="62"/>
        <v>118584.31726068762</v>
      </c>
      <c r="G421" s="1">
        <f t="shared" si="63"/>
        <v>59292.158630343809</v>
      </c>
      <c r="H421" s="1">
        <f t="shared" si="64"/>
        <v>23716.863452137524</v>
      </c>
      <c r="I421" s="1">
        <f t="shared" si="65"/>
        <v>11858.431726068762</v>
      </c>
      <c r="J421" s="1">
        <f t="shared" si="66"/>
        <v>7905.6211507125072</v>
      </c>
      <c r="K421" s="1">
        <f t="shared" si="67"/>
        <v>3952.8105753562536</v>
      </c>
      <c r="L421" s="1">
        <f t="shared" si="68"/>
        <v>1185.8431726068761</v>
      </c>
      <c r="M421" s="4">
        <f t="shared" si="61"/>
        <v>2430000000</v>
      </c>
      <c r="N421" s="4"/>
      <c r="O421" s="8"/>
      <c r="P421">
        <v>420</v>
      </c>
      <c r="Q421" s="1">
        <v>541353000000000</v>
      </c>
      <c r="R421" s="4">
        <v>2430000000</v>
      </c>
      <c r="S421">
        <f>ROUND(1.02^A421,2)</f>
        <v>4093.29</v>
      </c>
      <c r="T421" t="str">
        <f t="shared" si="60"/>
        <v>420,541353000000000,2430000000,4093,29</v>
      </c>
    </row>
    <row r="422" spans="1:20" x14ac:dyDescent="0.25">
      <c r="A422">
        <f t="shared" si="69"/>
        <v>421</v>
      </c>
      <c r="B422" s="1">
        <v>546207000000000</v>
      </c>
      <c r="C422" s="1">
        <v>4854000000000</v>
      </c>
      <c r="E422" s="1">
        <f>+S422*10000</f>
        <v>41751500</v>
      </c>
      <c r="F422" s="1">
        <f t="shared" si="62"/>
        <v>116779.0378788786</v>
      </c>
      <c r="G422" s="1">
        <f t="shared" si="63"/>
        <v>58389.518939439302</v>
      </c>
      <c r="H422" s="1">
        <f t="shared" si="64"/>
        <v>23355.807575775721</v>
      </c>
      <c r="I422" s="1">
        <f t="shared" si="65"/>
        <v>11677.903787887861</v>
      </c>
      <c r="J422" s="1">
        <f t="shared" si="66"/>
        <v>7785.2691919252402</v>
      </c>
      <c r="K422" s="1">
        <f t="shared" si="67"/>
        <v>3892.6345959626201</v>
      </c>
      <c r="L422" s="1">
        <f t="shared" si="68"/>
        <v>1167.790378788786</v>
      </c>
      <c r="M422" s="4">
        <f t="shared" si="61"/>
        <v>2440000000</v>
      </c>
      <c r="N422" s="4"/>
      <c r="O422" s="8"/>
      <c r="P422">
        <v>421</v>
      </c>
      <c r="Q422" s="1">
        <v>546207000000000</v>
      </c>
      <c r="R422" s="4">
        <v>2440000000</v>
      </c>
      <c r="S422">
        <f>ROUND(1.02^A422,2)</f>
        <v>4175.1499999999996</v>
      </c>
      <c r="T422" t="str">
        <f t="shared" si="60"/>
        <v>421,546207000000000,2440000000,4175,15</v>
      </c>
    </row>
    <row r="423" spans="1:20" x14ac:dyDescent="0.25">
      <c r="A423">
        <f t="shared" si="69"/>
        <v>422</v>
      </c>
      <c r="B423" s="1">
        <v>551082700000000</v>
      </c>
      <c r="C423" s="1">
        <v>4875700000000</v>
      </c>
      <c r="E423" s="1">
        <f>+S423*10000</f>
        <v>42586600</v>
      </c>
      <c r="F423" s="1">
        <f t="shared" si="62"/>
        <v>114998.6145876872</v>
      </c>
      <c r="G423" s="1">
        <f t="shared" si="63"/>
        <v>57499.307293843602</v>
      </c>
      <c r="H423" s="1">
        <f t="shared" si="64"/>
        <v>22999.722917537441</v>
      </c>
      <c r="I423" s="1">
        <f t="shared" si="65"/>
        <v>11499.861458768721</v>
      </c>
      <c r="J423" s="1">
        <f t="shared" si="66"/>
        <v>7666.5743058458138</v>
      </c>
      <c r="K423" s="1">
        <f t="shared" si="67"/>
        <v>3833.2871529229069</v>
      </c>
      <c r="L423" s="1">
        <f t="shared" si="68"/>
        <v>1149.9861458768721</v>
      </c>
      <c r="M423" s="4">
        <f t="shared" si="61"/>
        <v>2450000000</v>
      </c>
      <c r="N423" s="4"/>
      <c r="O423" s="8"/>
      <c r="P423">
        <v>422</v>
      </c>
      <c r="Q423" s="1">
        <v>551082700000000</v>
      </c>
      <c r="R423" s="4">
        <v>2450000000</v>
      </c>
      <c r="S423">
        <f>ROUND(1.02^A423,2)</f>
        <v>4258.66</v>
      </c>
      <c r="T423" t="str">
        <f t="shared" si="60"/>
        <v>422,551082700000000,2450000000,4258,66</v>
      </c>
    </row>
    <row r="424" spans="1:20" x14ac:dyDescent="0.25">
      <c r="A424">
        <f t="shared" si="69"/>
        <v>423</v>
      </c>
      <c r="B424" s="1">
        <v>555980100000000</v>
      </c>
      <c r="C424" s="1">
        <v>4897400000000</v>
      </c>
      <c r="E424" s="1">
        <f>+S424*10000</f>
        <v>43438300</v>
      </c>
      <c r="F424" s="1">
        <f t="shared" si="62"/>
        <v>113243.3819923892</v>
      </c>
      <c r="G424" s="1">
        <f t="shared" si="63"/>
        <v>56621.6909961946</v>
      </c>
      <c r="H424" s="1">
        <f t="shared" si="64"/>
        <v>22648.676398477841</v>
      </c>
      <c r="I424" s="1">
        <f t="shared" si="65"/>
        <v>11324.33819923892</v>
      </c>
      <c r="J424" s="1">
        <f t="shared" si="66"/>
        <v>7549.5587994926136</v>
      </c>
      <c r="K424" s="1">
        <f t="shared" si="67"/>
        <v>3774.7793997463068</v>
      </c>
      <c r="L424" s="1">
        <f t="shared" si="68"/>
        <v>1132.4338199238921</v>
      </c>
      <c r="M424" s="4">
        <f t="shared" si="61"/>
        <v>2460000000</v>
      </c>
      <c r="N424" s="4"/>
      <c r="O424" s="8"/>
      <c r="P424">
        <v>423</v>
      </c>
      <c r="Q424" s="1">
        <v>555980100000000</v>
      </c>
      <c r="R424" s="4">
        <v>2460000000</v>
      </c>
      <c r="S424">
        <f>ROUND(1.02^A424,2)</f>
        <v>4343.83</v>
      </c>
      <c r="T424" t="str">
        <f t="shared" si="60"/>
        <v>423,555980100000000,2460000000,4343,83</v>
      </c>
    </row>
    <row r="425" spans="1:20" x14ac:dyDescent="0.25">
      <c r="A425">
        <f t="shared" si="69"/>
        <v>424</v>
      </c>
      <c r="B425" s="1">
        <v>560899200000000</v>
      </c>
      <c r="C425" s="1">
        <v>4919100000000</v>
      </c>
      <c r="E425" s="1">
        <f>+S425*10000</f>
        <v>44307000</v>
      </c>
      <c r="F425" s="1">
        <f t="shared" si="62"/>
        <v>111512.85349944704</v>
      </c>
      <c r="G425" s="1">
        <f t="shared" si="63"/>
        <v>55756.42674972352</v>
      </c>
      <c r="H425" s="1">
        <f t="shared" si="64"/>
        <v>22302.570699889409</v>
      </c>
      <c r="I425" s="1">
        <f t="shared" si="65"/>
        <v>11151.285349944705</v>
      </c>
      <c r="J425" s="1">
        <f t="shared" si="66"/>
        <v>7434.1902332964692</v>
      </c>
      <c r="K425" s="1">
        <f t="shared" si="67"/>
        <v>3717.0951166482346</v>
      </c>
      <c r="L425" s="1">
        <f t="shared" si="68"/>
        <v>1115.1285349944703</v>
      </c>
      <c r="M425" s="4">
        <f t="shared" si="61"/>
        <v>2470000000</v>
      </c>
      <c r="N425" s="4"/>
      <c r="O425" s="8"/>
      <c r="P425">
        <v>424</v>
      </c>
      <c r="Q425" s="1">
        <v>560899200000000</v>
      </c>
      <c r="R425" s="4">
        <v>2470000000</v>
      </c>
      <c r="S425">
        <f>ROUND(1.02^A425,2)</f>
        <v>4430.7</v>
      </c>
      <c r="T425" t="str">
        <f t="shared" si="60"/>
        <v>424,560899200000000,2470000000,4430,7</v>
      </c>
    </row>
    <row r="426" spans="1:20" x14ac:dyDescent="0.25">
      <c r="A426">
        <f t="shared" si="69"/>
        <v>425</v>
      </c>
      <c r="B426" s="1">
        <v>565840000000000</v>
      </c>
      <c r="C426" s="1">
        <v>4940800000000</v>
      </c>
      <c r="E426" s="1">
        <f>+S426*10000</f>
        <v>45193200</v>
      </c>
      <c r="F426" s="1">
        <f t="shared" si="62"/>
        <v>109806.34254710886</v>
      </c>
      <c r="G426" s="1">
        <f t="shared" si="63"/>
        <v>54903.171273554428</v>
      </c>
      <c r="H426" s="1">
        <f t="shared" si="64"/>
        <v>21961.26850942177</v>
      </c>
      <c r="I426" s="1">
        <f t="shared" si="65"/>
        <v>10980.634254710885</v>
      </c>
      <c r="J426" s="1">
        <f t="shared" si="66"/>
        <v>7320.4228364739238</v>
      </c>
      <c r="K426" s="1">
        <f t="shared" si="67"/>
        <v>3660.2114182369619</v>
      </c>
      <c r="L426" s="1">
        <f t="shared" si="68"/>
        <v>1098.0634254710885</v>
      </c>
      <c r="M426" s="4">
        <f t="shared" si="61"/>
        <v>2480000000</v>
      </c>
      <c r="N426" s="4"/>
      <c r="O426" s="8"/>
      <c r="P426">
        <v>425</v>
      </c>
      <c r="Q426" s="1">
        <v>565840000000000</v>
      </c>
      <c r="R426" s="4">
        <v>2480000000</v>
      </c>
      <c r="S426">
        <f>ROUND(1.02^A426,2)</f>
        <v>4519.32</v>
      </c>
      <c r="T426" t="str">
        <f t="shared" si="60"/>
        <v>425,565840000000000,2480000000,4519,32</v>
      </c>
    </row>
    <row r="427" spans="1:20" x14ac:dyDescent="0.25">
      <c r="A427">
        <f t="shared" si="69"/>
        <v>426</v>
      </c>
      <c r="B427" s="1">
        <v>570802500000000</v>
      </c>
      <c r="C427" s="1">
        <v>4962500000000</v>
      </c>
      <c r="E427" s="1">
        <f>+S427*10000</f>
        <v>46097100</v>
      </c>
      <c r="F427" s="1">
        <f t="shared" si="62"/>
        <v>108123.93838224096</v>
      </c>
      <c r="G427" s="1">
        <f t="shared" si="63"/>
        <v>54061.969191120479</v>
      </c>
      <c r="H427" s="1">
        <f t="shared" si="64"/>
        <v>21624.787676448192</v>
      </c>
      <c r="I427" s="1">
        <f t="shared" si="65"/>
        <v>10812.393838224096</v>
      </c>
      <c r="J427" s="1">
        <f t="shared" si="66"/>
        <v>7208.2625588160645</v>
      </c>
      <c r="K427" s="1">
        <f t="shared" si="67"/>
        <v>3604.1312794080322</v>
      </c>
      <c r="L427" s="1">
        <f t="shared" si="68"/>
        <v>1081.2393838224098</v>
      </c>
      <c r="M427" s="4">
        <f t="shared" si="61"/>
        <v>2490000000</v>
      </c>
      <c r="N427" s="4"/>
      <c r="O427" s="8"/>
      <c r="P427">
        <v>426</v>
      </c>
      <c r="Q427" s="1">
        <v>570802500000000</v>
      </c>
      <c r="R427" s="4">
        <v>2490000000</v>
      </c>
      <c r="S427">
        <f>ROUND(1.02^A427,2)</f>
        <v>4609.71</v>
      </c>
      <c r="T427" t="str">
        <f t="shared" si="60"/>
        <v>426,570802500000000,2490000000,4609,71</v>
      </c>
    </row>
    <row r="428" spans="1:20" x14ac:dyDescent="0.25">
      <c r="A428">
        <f t="shared" si="69"/>
        <v>427</v>
      </c>
      <c r="B428" s="1">
        <v>575786700000000</v>
      </c>
      <c r="C428" s="1">
        <v>4984200000000</v>
      </c>
      <c r="E428" s="1">
        <f>+S428*10000</f>
        <v>47019000</v>
      </c>
      <c r="F428" s="1">
        <f t="shared" si="62"/>
        <v>106465.47140517664</v>
      </c>
      <c r="G428" s="1">
        <f t="shared" si="63"/>
        <v>53232.735702588318</v>
      </c>
      <c r="H428" s="1">
        <f t="shared" si="64"/>
        <v>21293.094281035326</v>
      </c>
      <c r="I428" s="1">
        <f t="shared" si="65"/>
        <v>10646.547140517663</v>
      </c>
      <c r="J428" s="1">
        <f t="shared" si="66"/>
        <v>7097.6980936784421</v>
      </c>
      <c r="K428" s="1">
        <f t="shared" si="67"/>
        <v>3548.849046839221</v>
      </c>
      <c r="L428" s="1">
        <f t="shared" si="68"/>
        <v>1064.6547140517664</v>
      </c>
      <c r="M428" s="4">
        <f t="shared" si="61"/>
        <v>2500000000</v>
      </c>
      <c r="N428" s="4"/>
      <c r="O428" s="8"/>
      <c r="P428">
        <v>427</v>
      </c>
      <c r="Q428" s="1">
        <v>575786700000000</v>
      </c>
      <c r="R428" s="4">
        <v>2500000000</v>
      </c>
      <c r="S428">
        <f>ROUND(1.02^A428,2)</f>
        <v>4701.8999999999996</v>
      </c>
      <c r="T428" t="str">
        <f t="shared" si="60"/>
        <v>427,575786700000000,2500000000,4701,9</v>
      </c>
    </row>
    <row r="429" spans="1:20" x14ac:dyDescent="0.25">
      <c r="A429">
        <f t="shared" si="69"/>
        <v>428</v>
      </c>
      <c r="B429" s="1">
        <v>580792600000000</v>
      </c>
      <c r="C429" s="1">
        <v>5005900000000</v>
      </c>
      <c r="E429" s="1">
        <f>+S429*10000</f>
        <v>47959399.999999993</v>
      </c>
      <c r="F429" s="1">
        <f t="shared" si="62"/>
        <v>104830.33565891151</v>
      </c>
      <c r="G429" s="1">
        <f t="shared" si="63"/>
        <v>52415.167829455757</v>
      </c>
      <c r="H429" s="1">
        <f t="shared" si="64"/>
        <v>20966.067131782303</v>
      </c>
      <c r="I429" s="1">
        <f t="shared" si="65"/>
        <v>10483.033565891152</v>
      </c>
      <c r="J429" s="1">
        <f t="shared" si="66"/>
        <v>6988.6890439274339</v>
      </c>
      <c r="K429" s="1">
        <f t="shared" si="67"/>
        <v>3494.3445219637169</v>
      </c>
      <c r="L429" s="1">
        <f t="shared" si="68"/>
        <v>1048.3033565891151</v>
      </c>
      <c r="M429" s="4">
        <f t="shared" si="61"/>
        <v>2510000000</v>
      </c>
      <c r="N429" s="4"/>
      <c r="O429" s="8"/>
      <c r="P429">
        <v>428</v>
      </c>
      <c r="Q429" s="1">
        <v>580792600000000</v>
      </c>
      <c r="R429" s="4">
        <v>2510000000</v>
      </c>
      <c r="S429">
        <f>ROUND(1.02^A429,2)</f>
        <v>4795.9399999999996</v>
      </c>
      <c r="T429" t="str">
        <f t="shared" si="60"/>
        <v>428,580792600000000,2510000000,4795,94</v>
      </c>
    </row>
    <row r="430" spans="1:20" x14ac:dyDescent="0.25">
      <c r="A430">
        <f t="shared" si="69"/>
        <v>429</v>
      </c>
      <c r="B430" s="1">
        <v>585820200000000</v>
      </c>
      <c r="C430" s="1">
        <v>5027600000000</v>
      </c>
      <c r="E430" s="1">
        <f>+S430*10000</f>
        <v>48918600</v>
      </c>
      <c r="F430" s="1">
        <f t="shared" si="62"/>
        <v>103218.40772221608</v>
      </c>
      <c r="G430" s="1">
        <f t="shared" si="63"/>
        <v>51609.203861108042</v>
      </c>
      <c r="H430" s="1">
        <f t="shared" si="64"/>
        <v>20643.681544443218</v>
      </c>
      <c r="I430" s="1">
        <f t="shared" si="65"/>
        <v>10321.840772221609</v>
      </c>
      <c r="J430" s="1">
        <f t="shared" si="66"/>
        <v>6881.2271814810729</v>
      </c>
      <c r="K430" s="1">
        <f t="shared" si="67"/>
        <v>3440.6135907405364</v>
      </c>
      <c r="L430" s="1">
        <f t="shared" si="68"/>
        <v>1032.1840772221608</v>
      </c>
      <c r="M430" s="4">
        <f t="shared" si="61"/>
        <v>2520000000</v>
      </c>
      <c r="N430" s="4"/>
      <c r="O430" s="8"/>
      <c r="P430">
        <v>429</v>
      </c>
      <c r="Q430" s="1">
        <v>585820200000000</v>
      </c>
      <c r="R430" s="4">
        <v>2520000000</v>
      </c>
      <c r="S430">
        <f>ROUND(1.02^A430,2)</f>
        <v>4891.8599999999997</v>
      </c>
      <c r="T430" t="str">
        <f t="shared" si="60"/>
        <v>429,585820200000000,2520000000,4891,86</v>
      </c>
    </row>
    <row r="431" spans="1:20" x14ac:dyDescent="0.25">
      <c r="A431">
        <f t="shared" si="69"/>
        <v>430</v>
      </c>
      <c r="B431" s="1">
        <v>590869500000000</v>
      </c>
      <c r="C431" s="1">
        <v>5049300000000</v>
      </c>
      <c r="E431" s="1">
        <f>+S431*10000</f>
        <v>49896899.999999993</v>
      </c>
      <c r="F431" s="1">
        <f t="shared" si="62"/>
        <v>101629.56015303558</v>
      </c>
      <c r="G431" s="1">
        <f t="shared" si="63"/>
        <v>50814.780076517789</v>
      </c>
      <c r="H431" s="1">
        <f t="shared" si="64"/>
        <v>20325.912030607113</v>
      </c>
      <c r="I431" s="1">
        <f t="shared" si="65"/>
        <v>10162.956015303556</v>
      </c>
      <c r="J431" s="1">
        <f t="shared" si="66"/>
        <v>6775.3040102023715</v>
      </c>
      <c r="K431" s="1">
        <f t="shared" si="67"/>
        <v>3387.6520051011858</v>
      </c>
      <c r="L431" s="1">
        <f t="shared" si="68"/>
        <v>1016.2956015303558</v>
      </c>
      <c r="M431" s="4">
        <f t="shared" si="61"/>
        <v>2540000000</v>
      </c>
      <c r="N431" s="4"/>
      <c r="O431" s="8"/>
      <c r="P431">
        <v>430</v>
      </c>
      <c r="Q431" s="1">
        <v>590869500000000</v>
      </c>
      <c r="R431" s="4">
        <v>2540000000</v>
      </c>
      <c r="S431">
        <f>ROUND(1.02^A431,2)</f>
        <v>4989.6899999999996</v>
      </c>
      <c r="T431" t="str">
        <f t="shared" si="60"/>
        <v>430,590869500000000,2540000000,4989,69</v>
      </c>
    </row>
    <row r="432" spans="1:20" x14ac:dyDescent="0.25">
      <c r="A432">
        <f t="shared" si="69"/>
        <v>431</v>
      </c>
      <c r="B432" s="1">
        <v>595940500000000</v>
      </c>
      <c r="C432" s="1">
        <v>5071000000000</v>
      </c>
      <c r="E432" s="1">
        <f>+S432*10000</f>
        <v>50894900</v>
      </c>
      <c r="F432" s="1">
        <f t="shared" si="62"/>
        <v>100063.07115251233</v>
      </c>
      <c r="G432" s="1">
        <f t="shared" si="63"/>
        <v>50031.535576256167</v>
      </c>
      <c r="H432" s="1">
        <f t="shared" si="64"/>
        <v>20012.614230502466</v>
      </c>
      <c r="I432" s="1">
        <f t="shared" si="65"/>
        <v>10006.307115251233</v>
      </c>
      <c r="J432" s="1">
        <f t="shared" si="66"/>
        <v>6670.8714101674886</v>
      </c>
      <c r="K432" s="1">
        <f t="shared" si="67"/>
        <v>3335.4357050837443</v>
      </c>
      <c r="L432" s="1">
        <f t="shared" si="68"/>
        <v>1000.6307115251234</v>
      </c>
      <c r="M432" s="4">
        <f t="shared" si="61"/>
        <v>2550000000</v>
      </c>
      <c r="N432" s="4"/>
      <c r="O432" s="8"/>
      <c r="P432">
        <v>431</v>
      </c>
      <c r="Q432" s="1">
        <v>595940500000000</v>
      </c>
      <c r="R432" s="4">
        <v>2550000000</v>
      </c>
      <c r="S432">
        <f>ROUND(1.02^A432,2)</f>
        <v>5089.49</v>
      </c>
      <c r="T432" t="str">
        <f t="shared" si="60"/>
        <v>431,595940500000000,2550000000,5089,49</v>
      </c>
    </row>
    <row r="433" spans="1:20" x14ac:dyDescent="0.25">
      <c r="A433">
        <f t="shared" si="69"/>
        <v>432</v>
      </c>
      <c r="B433" s="1">
        <v>601033200000000</v>
      </c>
      <c r="C433" s="1">
        <v>5092700000000</v>
      </c>
      <c r="E433" s="1">
        <f>+S433*10000</f>
        <v>51912800</v>
      </c>
      <c r="F433" s="1">
        <f t="shared" si="62"/>
        <v>98519.055030743868</v>
      </c>
      <c r="G433" s="1">
        <f t="shared" si="63"/>
        <v>49259.527515371934</v>
      </c>
      <c r="H433" s="1">
        <f t="shared" si="64"/>
        <v>19703.811006148771</v>
      </c>
      <c r="I433" s="1">
        <f t="shared" si="65"/>
        <v>9851.9055030743857</v>
      </c>
      <c r="J433" s="1">
        <f t="shared" si="66"/>
        <v>6567.9370020495908</v>
      </c>
      <c r="K433" s="1">
        <f t="shared" si="67"/>
        <v>3283.9685010247954</v>
      </c>
      <c r="L433" s="1">
        <f t="shared" si="68"/>
        <v>985.19055030743868</v>
      </c>
      <c r="M433" s="4">
        <f t="shared" si="61"/>
        <v>2560000000</v>
      </c>
      <c r="N433" s="4"/>
      <c r="O433" s="8"/>
      <c r="P433">
        <v>432</v>
      </c>
      <c r="Q433" s="1">
        <v>601033200000000</v>
      </c>
      <c r="R433" s="4">
        <v>2560000000</v>
      </c>
      <c r="S433">
        <f>ROUND(1.02^A433,2)</f>
        <v>5191.28</v>
      </c>
      <c r="T433" t="str">
        <f t="shared" si="60"/>
        <v>432,601033200000000,2560000000,5191,28</v>
      </c>
    </row>
    <row r="434" spans="1:20" x14ac:dyDescent="0.25">
      <c r="A434">
        <f t="shared" si="69"/>
        <v>433</v>
      </c>
      <c r="B434" s="1">
        <v>606147600000000</v>
      </c>
      <c r="C434" s="1">
        <v>5114400000000</v>
      </c>
      <c r="E434" s="1">
        <f>+S434*10000</f>
        <v>52951000</v>
      </c>
      <c r="F434" s="1">
        <f t="shared" si="62"/>
        <v>96997.223848463676</v>
      </c>
      <c r="G434" s="1">
        <f t="shared" si="63"/>
        <v>48498.611924231838</v>
      </c>
      <c r="H434" s="1">
        <f t="shared" si="64"/>
        <v>19399.444769692735</v>
      </c>
      <c r="I434" s="1">
        <f t="shared" si="65"/>
        <v>9699.7223848463673</v>
      </c>
      <c r="J434" s="1">
        <f t="shared" si="66"/>
        <v>6466.4815898975785</v>
      </c>
      <c r="K434" s="1">
        <f t="shared" si="67"/>
        <v>3233.2407949487892</v>
      </c>
      <c r="L434" s="1">
        <f t="shared" si="68"/>
        <v>969.9722384846367</v>
      </c>
      <c r="M434" s="4">
        <f t="shared" si="61"/>
        <v>2570000000</v>
      </c>
      <c r="N434" s="4"/>
      <c r="O434" s="8"/>
      <c r="P434">
        <v>433</v>
      </c>
      <c r="Q434" s="1">
        <v>606147600000000</v>
      </c>
      <c r="R434" s="4">
        <v>2570000000</v>
      </c>
      <c r="S434">
        <f>ROUND(1.02^A434,2)</f>
        <v>5295.1</v>
      </c>
      <c r="T434" t="str">
        <f t="shared" si="60"/>
        <v>433,606147600000000,2570000000,5295,1</v>
      </c>
    </row>
    <row r="435" spans="1:20" x14ac:dyDescent="0.25">
      <c r="A435">
        <f t="shared" si="69"/>
        <v>434</v>
      </c>
      <c r="B435" s="1">
        <v>611283700000000</v>
      </c>
      <c r="C435" s="1">
        <v>5136100000000</v>
      </c>
      <c r="E435" s="1">
        <f>+S435*10000</f>
        <v>54010000</v>
      </c>
      <c r="F435" s="1">
        <f t="shared" si="62"/>
        <v>95497.130161081281</v>
      </c>
      <c r="G435" s="1">
        <f t="shared" si="63"/>
        <v>47748.56508054064</v>
      </c>
      <c r="H435" s="1">
        <f t="shared" si="64"/>
        <v>19099.426032216255</v>
      </c>
      <c r="I435" s="1">
        <f t="shared" si="65"/>
        <v>9549.7130161081277</v>
      </c>
      <c r="J435" s="1">
        <f t="shared" si="66"/>
        <v>6366.4753440720851</v>
      </c>
      <c r="K435" s="1">
        <f t="shared" si="67"/>
        <v>3183.2376720360426</v>
      </c>
      <c r="L435" s="1">
        <f t="shared" si="68"/>
        <v>954.97130161081282</v>
      </c>
      <c r="M435" s="4">
        <f t="shared" si="61"/>
        <v>2580000000</v>
      </c>
      <c r="N435" s="4"/>
      <c r="O435" s="8"/>
      <c r="P435">
        <v>434</v>
      </c>
      <c r="Q435" s="1">
        <v>611283700000000</v>
      </c>
      <c r="R435" s="4">
        <v>2580000000</v>
      </c>
      <c r="S435">
        <f>ROUND(1.02^A435,2)</f>
        <v>5401</v>
      </c>
      <c r="T435" t="str">
        <f t="shared" si="60"/>
        <v>434,611283700000000,2580000000,5401</v>
      </c>
    </row>
    <row r="436" spans="1:20" x14ac:dyDescent="0.25">
      <c r="A436">
        <f t="shared" si="69"/>
        <v>435</v>
      </c>
      <c r="B436" s="1">
        <v>616441500000000</v>
      </c>
      <c r="C436" s="1">
        <v>5157800000000</v>
      </c>
      <c r="E436" s="1">
        <f>+S436*10000</f>
        <v>55090200.000000007</v>
      </c>
      <c r="F436" s="1">
        <f t="shared" si="62"/>
        <v>94018.536872256765</v>
      </c>
      <c r="G436" s="1">
        <f t="shared" si="63"/>
        <v>47009.268436128383</v>
      </c>
      <c r="H436" s="1">
        <f t="shared" si="64"/>
        <v>18803.707374451351</v>
      </c>
      <c r="I436" s="1">
        <f t="shared" si="65"/>
        <v>9401.8536872256755</v>
      </c>
      <c r="J436" s="1">
        <f t="shared" si="66"/>
        <v>6267.9024581504509</v>
      </c>
      <c r="K436" s="1">
        <f t="shared" si="67"/>
        <v>3133.9512290752255</v>
      </c>
      <c r="L436" s="1">
        <f t="shared" si="68"/>
        <v>940.18536872256755</v>
      </c>
      <c r="M436" s="4">
        <f t="shared" si="61"/>
        <v>2590000000</v>
      </c>
      <c r="N436" s="4"/>
      <c r="O436" s="8"/>
      <c r="P436">
        <v>435</v>
      </c>
      <c r="Q436" s="1">
        <v>616441500000000</v>
      </c>
      <c r="R436" s="4">
        <v>2590000000</v>
      </c>
      <c r="S436">
        <f>ROUND(1.02^A436,2)</f>
        <v>5509.02</v>
      </c>
      <c r="T436" t="str">
        <f t="shared" si="60"/>
        <v>435,616441500000000,2590000000,5509,02</v>
      </c>
    </row>
    <row r="437" spans="1:20" x14ac:dyDescent="0.25">
      <c r="A437">
        <f t="shared" si="69"/>
        <v>436</v>
      </c>
      <c r="B437" s="1">
        <v>621621000000000</v>
      </c>
      <c r="C437" s="1">
        <v>5179500000000</v>
      </c>
      <c r="E437" s="1">
        <f>+S437*10000</f>
        <v>56192100</v>
      </c>
      <c r="F437" s="1">
        <f t="shared" si="62"/>
        <v>92561.053955983138</v>
      </c>
      <c r="G437" s="1">
        <f t="shared" si="63"/>
        <v>46280.526977991569</v>
      </c>
      <c r="H437" s="1">
        <f t="shared" si="64"/>
        <v>18512.210791196627</v>
      </c>
      <c r="I437" s="1">
        <f t="shared" si="65"/>
        <v>9256.1053955983134</v>
      </c>
      <c r="J437" s="1">
        <f t="shared" si="66"/>
        <v>6170.7369303988762</v>
      </c>
      <c r="K437" s="1">
        <f t="shared" si="67"/>
        <v>3085.3684651994381</v>
      </c>
      <c r="L437" s="1">
        <f t="shared" si="68"/>
        <v>925.61053955983141</v>
      </c>
      <c r="M437" s="4">
        <f t="shared" si="61"/>
        <v>2600000000</v>
      </c>
      <c r="N437" s="4"/>
      <c r="O437" s="8"/>
      <c r="P437">
        <v>436</v>
      </c>
      <c r="Q437" s="1">
        <v>621621000000000</v>
      </c>
      <c r="R437" s="4">
        <v>2600000000</v>
      </c>
      <c r="S437">
        <f>ROUND(1.02^A437,2)</f>
        <v>5619.21</v>
      </c>
      <c r="T437" t="str">
        <f t="shared" si="60"/>
        <v>436,621621000000000,2600000000,5619,21</v>
      </c>
    </row>
    <row r="438" spans="1:20" x14ac:dyDescent="0.25">
      <c r="A438">
        <f t="shared" si="69"/>
        <v>437</v>
      </c>
      <c r="B438" s="1">
        <v>626822200000000</v>
      </c>
      <c r="C438" s="1">
        <v>5201200000000</v>
      </c>
      <c r="E438" s="1">
        <f>+S438*10000</f>
        <v>57315900</v>
      </c>
      <c r="F438" s="1">
        <f t="shared" si="62"/>
        <v>91124.801320401501</v>
      </c>
      <c r="G438" s="1">
        <f t="shared" si="63"/>
        <v>45562.40066020075</v>
      </c>
      <c r="H438" s="1">
        <f t="shared" si="64"/>
        <v>18224.960264080299</v>
      </c>
      <c r="I438" s="1">
        <f t="shared" si="65"/>
        <v>9112.4801320401493</v>
      </c>
      <c r="J438" s="1">
        <f t="shared" si="66"/>
        <v>6074.9867546934329</v>
      </c>
      <c r="K438" s="1">
        <f t="shared" si="67"/>
        <v>3037.4933773467164</v>
      </c>
      <c r="L438" s="1">
        <f t="shared" si="68"/>
        <v>911.24801320401491</v>
      </c>
      <c r="M438" s="4">
        <f t="shared" si="61"/>
        <v>2610000000</v>
      </c>
      <c r="N438" s="4"/>
      <c r="O438" s="8"/>
      <c r="P438">
        <v>437</v>
      </c>
      <c r="Q438" s="1">
        <v>626822200000000</v>
      </c>
      <c r="R438" s="4">
        <v>2610000000</v>
      </c>
      <c r="S438">
        <f>ROUND(1.02^A438,2)</f>
        <v>5731.59</v>
      </c>
      <c r="T438" t="str">
        <f t="shared" si="60"/>
        <v>437,626822200000000,2610000000,5731,59</v>
      </c>
    </row>
    <row r="439" spans="1:20" x14ac:dyDescent="0.25">
      <c r="A439">
        <f t="shared" si="69"/>
        <v>438</v>
      </c>
      <c r="B439" s="1">
        <v>632045100000000</v>
      </c>
      <c r="C439" s="1">
        <v>5222900000000</v>
      </c>
      <c r="E439" s="1">
        <f>+S439*10000</f>
        <v>58462200</v>
      </c>
      <c r="F439" s="1">
        <f t="shared" si="62"/>
        <v>89709.248026930218</v>
      </c>
      <c r="G439" s="1">
        <f t="shared" si="63"/>
        <v>44854.624013465109</v>
      </c>
      <c r="H439" s="1">
        <f t="shared" si="64"/>
        <v>17941.849605386044</v>
      </c>
      <c r="I439" s="1">
        <f t="shared" si="65"/>
        <v>8970.9248026930218</v>
      </c>
      <c r="J439" s="1">
        <f t="shared" si="66"/>
        <v>5980.6165351286818</v>
      </c>
      <c r="K439" s="1">
        <f t="shared" si="67"/>
        <v>2990.3082675643409</v>
      </c>
      <c r="L439" s="1">
        <f t="shared" si="68"/>
        <v>897.0924802693022</v>
      </c>
      <c r="M439" s="4">
        <f t="shared" si="61"/>
        <v>2620000000</v>
      </c>
      <c r="N439" s="4"/>
      <c r="O439" s="8"/>
      <c r="P439">
        <v>438</v>
      </c>
      <c r="Q439" s="1">
        <v>632045100000000</v>
      </c>
      <c r="R439" s="4">
        <v>2620000000</v>
      </c>
      <c r="S439">
        <f>ROUND(1.02^A439,2)</f>
        <v>5846.22</v>
      </c>
      <c r="T439" t="str">
        <f t="shared" si="60"/>
        <v>438,632045100000000,2620000000,5846,22</v>
      </c>
    </row>
    <row r="440" spans="1:20" x14ac:dyDescent="0.25">
      <c r="A440">
        <f t="shared" si="69"/>
        <v>439</v>
      </c>
      <c r="B440" s="1">
        <v>637289700000000</v>
      </c>
      <c r="C440" s="1">
        <v>5244600000000</v>
      </c>
      <c r="E440" s="1">
        <f>+S440*10000</f>
        <v>59631500</v>
      </c>
      <c r="F440" s="1">
        <f t="shared" si="62"/>
        <v>88314.062198670159</v>
      </c>
      <c r="G440" s="1">
        <f t="shared" si="63"/>
        <v>44157.031099335079</v>
      </c>
      <c r="H440" s="1">
        <f t="shared" si="64"/>
        <v>17662.812439734033</v>
      </c>
      <c r="I440" s="1">
        <f t="shared" si="65"/>
        <v>8831.4062198670163</v>
      </c>
      <c r="J440" s="1">
        <f t="shared" si="66"/>
        <v>5887.6041465780108</v>
      </c>
      <c r="K440" s="1">
        <f t="shared" si="67"/>
        <v>2943.8020732890054</v>
      </c>
      <c r="L440" s="1">
        <f t="shared" si="68"/>
        <v>883.1406219867016</v>
      </c>
      <c r="M440" s="4">
        <f t="shared" si="61"/>
        <v>2630000000</v>
      </c>
      <c r="N440" s="4"/>
      <c r="O440" s="8"/>
      <c r="P440">
        <v>439</v>
      </c>
      <c r="Q440" s="1">
        <v>637289700000000</v>
      </c>
      <c r="R440" s="4">
        <v>2630000000</v>
      </c>
      <c r="S440">
        <f>ROUND(1.02^A440,2)</f>
        <v>5963.15</v>
      </c>
      <c r="T440" t="str">
        <f t="shared" si="60"/>
        <v>439,637289700000000,2630000000,5963,15</v>
      </c>
    </row>
    <row r="441" spans="1:20" x14ac:dyDescent="0.25">
      <c r="A441">
        <f t="shared" si="69"/>
        <v>440</v>
      </c>
      <c r="B441" s="1">
        <v>642556000000000</v>
      </c>
      <c r="C441" s="1">
        <v>5266300000000</v>
      </c>
      <c r="E441" s="1">
        <f>+S441*10000</f>
        <v>60824100</v>
      </c>
      <c r="F441" s="1">
        <f t="shared" si="62"/>
        <v>86939.223103999888</v>
      </c>
      <c r="G441" s="1">
        <f t="shared" si="63"/>
        <v>43469.611551999944</v>
      </c>
      <c r="H441" s="1">
        <f t="shared" si="64"/>
        <v>17387.84462079998</v>
      </c>
      <c r="I441" s="1">
        <f t="shared" si="65"/>
        <v>8693.9223103999902</v>
      </c>
      <c r="J441" s="1">
        <f t="shared" si="66"/>
        <v>5795.9482069333262</v>
      </c>
      <c r="K441" s="1">
        <f t="shared" si="67"/>
        <v>2897.9741034666631</v>
      </c>
      <c r="L441" s="1">
        <f t="shared" si="68"/>
        <v>869.39223103999893</v>
      </c>
      <c r="M441" s="4">
        <f t="shared" si="61"/>
        <v>2640000000</v>
      </c>
      <c r="N441" s="4"/>
      <c r="O441" s="8"/>
      <c r="P441">
        <v>440</v>
      </c>
      <c r="Q441" s="1">
        <v>642556000000000</v>
      </c>
      <c r="R441" s="4">
        <v>2640000000</v>
      </c>
      <c r="S441">
        <f>ROUND(1.02^A441,2)</f>
        <v>6082.41</v>
      </c>
      <c r="T441" t="str">
        <f t="shared" si="60"/>
        <v>440,642556000000000,2640000000,6082,41</v>
      </c>
    </row>
    <row r="442" spans="1:20" x14ac:dyDescent="0.25">
      <c r="A442">
        <f t="shared" si="69"/>
        <v>441</v>
      </c>
      <c r="B442" s="1">
        <v>647844000000000</v>
      </c>
      <c r="C442" s="1">
        <v>5288000000000</v>
      </c>
      <c r="E442" s="1">
        <f>+S442*10000</f>
        <v>62040600.000000007</v>
      </c>
      <c r="F442" s="1">
        <f t="shared" si="62"/>
        <v>85584.278682024335</v>
      </c>
      <c r="G442" s="1">
        <f t="shared" si="63"/>
        <v>42792.139341012167</v>
      </c>
      <c r="H442" s="1">
        <f t="shared" si="64"/>
        <v>17116.855736404868</v>
      </c>
      <c r="I442" s="1">
        <f t="shared" si="65"/>
        <v>8558.4278682024342</v>
      </c>
      <c r="J442" s="1">
        <f t="shared" si="66"/>
        <v>5705.6185788016228</v>
      </c>
      <c r="K442" s="1">
        <f t="shared" si="67"/>
        <v>2852.8092894008114</v>
      </c>
      <c r="L442" s="1">
        <f t="shared" si="68"/>
        <v>855.84278682024342</v>
      </c>
      <c r="M442" s="4">
        <f t="shared" si="61"/>
        <v>2650000000</v>
      </c>
      <c r="N442" s="4"/>
      <c r="O442" s="8"/>
      <c r="P442">
        <v>441</v>
      </c>
      <c r="Q442" s="1">
        <v>647844000000000</v>
      </c>
      <c r="R442" s="4">
        <v>2650000000</v>
      </c>
      <c r="S442">
        <f>ROUND(1.02^A442,2)</f>
        <v>6204.06</v>
      </c>
      <c r="T442" t="str">
        <f t="shared" si="60"/>
        <v>441,647844000000000,2650000000,6204,06</v>
      </c>
    </row>
    <row r="443" spans="1:20" x14ac:dyDescent="0.25">
      <c r="A443">
        <f t="shared" si="69"/>
        <v>442</v>
      </c>
      <c r="B443" s="1">
        <v>653153700000000</v>
      </c>
      <c r="C443" s="1">
        <v>5309700000000</v>
      </c>
      <c r="E443" s="1">
        <f>+S443*10000</f>
        <v>63281400</v>
      </c>
      <c r="F443" s="1">
        <f t="shared" si="62"/>
        <v>84249.084249084248</v>
      </c>
      <c r="G443" s="1">
        <f t="shared" si="63"/>
        <v>42124.542124542124</v>
      </c>
      <c r="H443" s="1">
        <f t="shared" si="64"/>
        <v>16849.816849816849</v>
      </c>
      <c r="I443" s="1">
        <f t="shared" si="65"/>
        <v>8424.9084249084244</v>
      </c>
      <c r="J443" s="1">
        <f t="shared" si="66"/>
        <v>5616.6056166056169</v>
      </c>
      <c r="K443" s="1">
        <f t="shared" si="67"/>
        <v>2808.3028083028084</v>
      </c>
      <c r="L443" s="1">
        <f t="shared" si="68"/>
        <v>842.49084249084251</v>
      </c>
      <c r="M443" s="4">
        <f t="shared" si="61"/>
        <v>2670000000</v>
      </c>
      <c r="N443" s="4"/>
      <c r="O443" s="8"/>
      <c r="P443">
        <v>442</v>
      </c>
      <c r="Q443" s="1">
        <v>653153700000000</v>
      </c>
      <c r="R443" s="4">
        <v>2670000000</v>
      </c>
      <c r="S443">
        <f>ROUND(1.02^A443,2)</f>
        <v>6328.14</v>
      </c>
      <c r="T443" t="str">
        <f t="shared" si="60"/>
        <v>442,653153700000000,2670000000,6328,14</v>
      </c>
    </row>
    <row r="444" spans="1:20" x14ac:dyDescent="0.25">
      <c r="A444">
        <f t="shared" si="69"/>
        <v>443</v>
      </c>
      <c r="B444" s="1">
        <v>658485100000000</v>
      </c>
      <c r="C444" s="1">
        <v>5331400000000</v>
      </c>
      <c r="E444" s="1">
        <f>+S444*10000</f>
        <v>64547000</v>
      </c>
      <c r="F444" s="1">
        <f t="shared" si="62"/>
        <v>82933.366384185167</v>
      </c>
      <c r="G444" s="1">
        <f t="shared" si="63"/>
        <v>41466.683192092583</v>
      </c>
      <c r="H444" s="1">
        <f t="shared" si="64"/>
        <v>16586.673276837035</v>
      </c>
      <c r="I444" s="1">
        <f t="shared" si="65"/>
        <v>8293.3366384185174</v>
      </c>
      <c r="J444" s="1">
        <f t="shared" si="66"/>
        <v>5528.891092279011</v>
      </c>
      <c r="K444" s="1">
        <f t="shared" si="67"/>
        <v>2764.4455461395055</v>
      </c>
      <c r="L444" s="1">
        <f t="shared" si="68"/>
        <v>829.33366384185172</v>
      </c>
      <c r="M444" s="4">
        <f t="shared" si="61"/>
        <v>2680000000</v>
      </c>
      <c r="N444" s="4"/>
      <c r="O444" s="8"/>
      <c r="P444">
        <v>443</v>
      </c>
      <c r="Q444" s="1">
        <v>658485100000000</v>
      </c>
      <c r="R444" s="4">
        <v>2680000000</v>
      </c>
      <c r="S444">
        <f>ROUND(1.02^A444,2)</f>
        <v>6454.7</v>
      </c>
      <c r="T444" t="str">
        <f t="shared" si="60"/>
        <v>443,658485100000000,2680000000,6454,7</v>
      </c>
    </row>
    <row r="445" spans="1:20" x14ac:dyDescent="0.25">
      <c r="A445">
        <f t="shared" si="69"/>
        <v>444</v>
      </c>
      <c r="B445" s="1">
        <v>663838200000000</v>
      </c>
      <c r="C445" s="1">
        <v>5353100000000</v>
      </c>
      <c r="E445" s="1">
        <f>+S445*10000</f>
        <v>65837900</v>
      </c>
      <c r="F445" s="1">
        <f t="shared" si="62"/>
        <v>81636.86873366253</v>
      </c>
      <c r="G445" s="1">
        <f t="shared" si="63"/>
        <v>40818.434366831265</v>
      </c>
      <c r="H445" s="1">
        <f t="shared" si="64"/>
        <v>16327.373746732505</v>
      </c>
      <c r="I445" s="1">
        <f t="shared" si="65"/>
        <v>8163.6868733662523</v>
      </c>
      <c r="J445" s="1">
        <f t="shared" si="66"/>
        <v>5442.4579155775018</v>
      </c>
      <c r="K445" s="1">
        <f t="shared" si="67"/>
        <v>2721.2289577887509</v>
      </c>
      <c r="L445" s="1">
        <f t="shared" si="68"/>
        <v>816.36868733662527</v>
      </c>
      <c r="M445" s="4">
        <f t="shared" si="61"/>
        <v>2690000000</v>
      </c>
      <c r="N445" s="4"/>
      <c r="O445" s="8"/>
      <c r="P445">
        <v>444</v>
      </c>
      <c r="Q445" s="1">
        <v>663838200000000</v>
      </c>
      <c r="R445" s="4">
        <v>2690000000</v>
      </c>
      <c r="S445">
        <f>ROUND(1.02^A445,2)</f>
        <v>6583.79</v>
      </c>
      <c r="T445" t="str">
        <f t="shared" si="60"/>
        <v>444,663838200000000,2690000000,6583,79</v>
      </c>
    </row>
    <row r="446" spans="1:20" x14ac:dyDescent="0.25">
      <c r="A446">
        <f t="shared" si="69"/>
        <v>445</v>
      </c>
      <c r="B446" s="1">
        <v>669213000000000</v>
      </c>
      <c r="C446" s="1">
        <v>5374800000000</v>
      </c>
      <c r="E446" s="1">
        <f>+S446*10000</f>
        <v>67154700</v>
      </c>
      <c r="F446" s="1">
        <f t="shared" si="62"/>
        <v>80359.230254918861</v>
      </c>
      <c r="G446" s="1">
        <f t="shared" si="63"/>
        <v>40179.61512745943</v>
      </c>
      <c r="H446" s="1">
        <f t="shared" si="64"/>
        <v>16071.846050983773</v>
      </c>
      <c r="I446" s="1">
        <f t="shared" si="65"/>
        <v>8035.9230254918866</v>
      </c>
      <c r="J446" s="1">
        <f t="shared" si="66"/>
        <v>5357.2820169945908</v>
      </c>
      <c r="K446" s="1">
        <f t="shared" si="67"/>
        <v>2678.6410084972954</v>
      </c>
      <c r="L446" s="1">
        <f t="shared" si="68"/>
        <v>803.59230254918862</v>
      </c>
      <c r="M446" s="4">
        <f t="shared" si="61"/>
        <v>2700000000</v>
      </c>
      <c r="N446" s="4"/>
      <c r="O446" s="8"/>
      <c r="P446">
        <v>445</v>
      </c>
      <c r="Q446" s="1">
        <v>669213000000000</v>
      </c>
      <c r="R446" s="4">
        <v>2700000000</v>
      </c>
      <c r="S446">
        <f>ROUND(1.02^A446,2)</f>
        <v>6715.47</v>
      </c>
      <c r="T446" t="str">
        <f t="shared" si="60"/>
        <v>445,669213000000000,2700000000,6715,47</v>
      </c>
    </row>
    <row r="447" spans="1:20" x14ac:dyDescent="0.25">
      <c r="A447">
        <f t="shared" si="69"/>
        <v>446</v>
      </c>
      <c r="B447" s="1">
        <v>674609500000000</v>
      </c>
      <c r="C447" s="1">
        <v>5396500000000</v>
      </c>
      <c r="E447" s="1">
        <f>+S447*10000</f>
        <v>68497800</v>
      </c>
      <c r="F447" s="1">
        <f t="shared" si="62"/>
        <v>79100.350668196639</v>
      </c>
      <c r="G447" s="1">
        <f t="shared" si="63"/>
        <v>39550.17533409832</v>
      </c>
      <c r="H447" s="1">
        <f t="shared" si="64"/>
        <v>15820.070133639329</v>
      </c>
      <c r="I447" s="1">
        <f t="shared" si="65"/>
        <v>7910.0350668196643</v>
      </c>
      <c r="J447" s="1">
        <f t="shared" si="66"/>
        <v>5273.3567112131095</v>
      </c>
      <c r="K447" s="1">
        <f t="shared" si="67"/>
        <v>2636.6783556065548</v>
      </c>
      <c r="L447" s="1">
        <f t="shared" si="68"/>
        <v>791.00350668196643</v>
      </c>
      <c r="M447" s="4">
        <f t="shared" si="61"/>
        <v>2710000000</v>
      </c>
      <c r="N447" s="4"/>
      <c r="O447" s="8"/>
      <c r="P447">
        <v>446</v>
      </c>
      <c r="Q447" s="1">
        <v>674609500000000</v>
      </c>
      <c r="R447" s="4">
        <v>2710000000</v>
      </c>
      <c r="S447">
        <f>ROUND(1.02^A447,2)</f>
        <v>6849.78</v>
      </c>
      <c r="T447" t="str">
        <f t="shared" si="60"/>
        <v>446,674609500000000,2710000000,6849,78</v>
      </c>
    </row>
    <row r="448" spans="1:20" x14ac:dyDescent="0.25">
      <c r="A448">
        <f t="shared" si="69"/>
        <v>447</v>
      </c>
      <c r="B448" s="1">
        <v>680027700000000</v>
      </c>
      <c r="C448" s="1">
        <v>5418200000000</v>
      </c>
      <c r="E448" s="1">
        <f>+S448*10000</f>
        <v>69867800</v>
      </c>
      <c r="F448" s="1">
        <f t="shared" si="62"/>
        <v>77859.901127558041</v>
      </c>
      <c r="G448" s="1">
        <f t="shared" si="63"/>
        <v>38929.950563779021</v>
      </c>
      <c r="H448" s="1">
        <f t="shared" si="64"/>
        <v>15571.980225511608</v>
      </c>
      <c r="I448" s="1">
        <f t="shared" si="65"/>
        <v>7785.9901127558041</v>
      </c>
      <c r="J448" s="1">
        <f t="shared" si="66"/>
        <v>5190.6600751705364</v>
      </c>
      <c r="K448" s="1">
        <f t="shared" si="67"/>
        <v>2595.3300375852682</v>
      </c>
      <c r="L448" s="1">
        <f t="shared" si="68"/>
        <v>778.59901127558044</v>
      </c>
      <c r="M448" s="4">
        <f t="shared" si="61"/>
        <v>2720000000</v>
      </c>
      <c r="N448" s="4"/>
      <c r="O448" s="8"/>
      <c r="P448">
        <v>447</v>
      </c>
      <c r="Q448" s="1">
        <v>680027700000000</v>
      </c>
      <c r="R448" s="4">
        <v>2720000000</v>
      </c>
      <c r="S448">
        <f>ROUND(1.02^A448,2)</f>
        <v>6986.78</v>
      </c>
      <c r="T448" t="str">
        <f t="shared" si="60"/>
        <v>447,680027700000000,2720000000,6986,78</v>
      </c>
    </row>
    <row r="449" spans="1:20" x14ac:dyDescent="0.25">
      <c r="A449">
        <f t="shared" si="69"/>
        <v>448</v>
      </c>
      <c r="B449" s="1">
        <v>685467600000000</v>
      </c>
      <c r="C449" s="1">
        <v>5439900000000</v>
      </c>
      <c r="E449" s="1">
        <f>+S449*10000</f>
        <v>71265100</v>
      </c>
      <c r="F449" s="1">
        <f t="shared" si="62"/>
        <v>76637.79325364028</v>
      </c>
      <c r="G449" s="1">
        <f t="shared" si="63"/>
        <v>38318.89662682014</v>
      </c>
      <c r="H449" s="1">
        <f t="shared" si="64"/>
        <v>15327.558650728057</v>
      </c>
      <c r="I449" s="1">
        <f t="shared" si="65"/>
        <v>7663.7793253640284</v>
      </c>
      <c r="J449" s="1">
        <f t="shared" si="66"/>
        <v>5109.186216909352</v>
      </c>
      <c r="K449" s="1">
        <f t="shared" si="67"/>
        <v>2554.593108454676</v>
      </c>
      <c r="L449" s="1">
        <f t="shared" si="68"/>
        <v>766.3779325364028</v>
      </c>
      <c r="M449" s="4">
        <f t="shared" si="61"/>
        <v>2730000000</v>
      </c>
      <c r="N449" s="4"/>
      <c r="O449" s="8"/>
      <c r="P449">
        <v>448</v>
      </c>
      <c r="Q449" s="1">
        <v>685467600000000</v>
      </c>
      <c r="R449" s="4">
        <v>2730000000</v>
      </c>
      <c r="S449">
        <f>ROUND(1.02^A449,2)</f>
        <v>7126.51</v>
      </c>
      <c r="T449" t="str">
        <f t="shared" si="60"/>
        <v>448,685467600000000,2730000000,7126,51</v>
      </c>
    </row>
    <row r="450" spans="1:20" x14ac:dyDescent="0.25">
      <c r="A450">
        <f t="shared" si="69"/>
        <v>449</v>
      </c>
      <c r="B450" s="1">
        <v>690929200000000</v>
      </c>
      <c r="C450" s="1">
        <v>5461600000000</v>
      </c>
      <c r="E450" s="1">
        <f>+S450*10000</f>
        <v>72690400</v>
      </c>
      <c r="F450" s="1">
        <f t="shared" si="62"/>
        <v>75433.61984526155</v>
      </c>
      <c r="G450" s="1">
        <f t="shared" si="63"/>
        <v>37716.809922630775</v>
      </c>
      <c r="H450" s="1">
        <f t="shared" si="64"/>
        <v>15086.723969052309</v>
      </c>
      <c r="I450" s="1">
        <f t="shared" si="65"/>
        <v>7543.3619845261546</v>
      </c>
      <c r="J450" s="1">
        <f t="shared" si="66"/>
        <v>5028.9079896841031</v>
      </c>
      <c r="K450" s="1">
        <f t="shared" si="67"/>
        <v>2514.4539948420515</v>
      </c>
      <c r="L450" s="1">
        <f t="shared" si="68"/>
        <v>754.33619845261546</v>
      </c>
      <c r="M450" s="4">
        <f t="shared" si="61"/>
        <v>2740000000</v>
      </c>
      <c r="N450" s="4"/>
      <c r="O450" s="8"/>
      <c r="P450">
        <v>449</v>
      </c>
      <c r="Q450" s="1">
        <v>690929200000000</v>
      </c>
      <c r="R450" s="4">
        <v>2740000000</v>
      </c>
      <c r="S450">
        <f>ROUND(1.02^A450,2)</f>
        <v>7269.04</v>
      </c>
      <c r="T450" t="str">
        <f t="shared" ref="T450:T501" si="70">P450&amp;","&amp;Q450&amp;","&amp;R450&amp;","&amp;S450</f>
        <v>449,690929200000000,2740000000,7269,04</v>
      </c>
    </row>
    <row r="451" spans="1:20" x14ac:dyDescent="0.25">
      <c r="A451">
        <f t="shared" si="69"/>
        <v>450</v>
      </c>
      <c r="B451" s="1">
        <v>696412500000000</v>
      </c>
      <c r="C451" s="1">
        <v>5483300000000</v>
      </c>
      <c r="E451" s="1">
        <f>+S451*10000</f>
        <v>74144200</v>
      </c>
      <c r="F451" s="1">
        <f t="shared" si="62"/>
        <v>74247.210166135716</v>
      </c>
      <c r="G451" s="1">
        <f t="shared" si="63"/>
        <v>37123.605083067858</v>
      </c>
      <c r="H451" s="1">
        <f t="shared" si="64"/>
        <v>14849.442033227144</v>
      </c>
      <c r="I451" s="1">
        <f t="shared" si="65"/>
        <v>7424.7210166135719</v>
      </c>
      <c r="J451" s="1">
        <f t="shared" si="66"/>
        <v>4949.8140110757149</v>
      </c>
      <c r="K451" s="1">
        <f t="shared" si="67"/>
        <v>2474.9070055378575</v>
      </c>
      <c r="L451" s="1">
        <f t="shared" si="68"/>
        <v>742.47210166135721</v>
      </c>
      <c r="M451" s="4">
        <f t="shared" ref="M451:M500" si="71">ROUND(MAX(E452*6.3*10%,C452*0.05%),-MAX(2,INT(LOG10(MAX(E452*6.3*10%,C452*0.05%)))-2))</f>
        <v>2750000000</v>
      </c>
      <c r="N451" s="4"/>
      <c r="O451" s="8"/>
      <c r="P451">
        <v>450</v>
      </c>
      <c r="Q451" s="1">
        <v>696412500000000</v>
      </c>
      <c r="R451" s="4">
        <v>2750000000</v>
      </c>
      <c r="S451">
        <f>ROUND(1.02^A451,2)</f>
        <v>7414.42</v>
      </c>
      <c r="T451" t="str">
        <f t="shared" si="70"/>
        <v>450,696412500000000,2750000000,7414,42</v>
      </c>
    </row>
    <row r="452" spans="1:20" x14ac:dyDescent="0.25">
      <c r="A452">
        <f t="shared" si="69"/>
        <v>451</v>
      </c>
      <c r="B452" s="1">
        <v>701917500000000</v>
      </c>
      <c r="C452" s="1">
        <v>5505000000000</v>
      </c>
      <c r="E452" s="1">
        <f>+S452*10000</f>
        <v>75627100</v>
      </c>
      <c r="F452" s="1">
        <f t="shared" ref="F452:F501" si="72">$C453/($E452*1)</f>
        <v>73078.301296757374</v>
      </c>
      <c r="G452" s="1">
        <f t="shared" ref="G452:G501" si="73">$C453/($E452*2)</f>
        <v>36539.150648378687</v>
      </c>
      <c r="H452" s="1">
        <f t="shared" ref="H452:H501" si="74">$C453/($E452*5)</f>
        <v>14615.660259351476</v>
      </c>
      <c r="I452" s="1">
        <f t="shared" ref="I452:I501" si="75">$C453/($E452*10)</f>
        <v>7307.8301296757381</v>
      </c>
      <c r="J452" s="1">
        <f t="shared" ref="J452:J501" si="76">$C453/($E452*15)</f>
        <v>4871.8867531171591</v>
      </c>
      <c r="K452" s="1">
        <f t="shared" ref="K452:K501" si="77">$C453/($E452*30)</f>
        <v>2435.9433765585795</v>
      </c>
      <c r="L452" s="1">
        <f t="shared" ref="L452:L501" si="78">$C453/($E452*100)</f>
        <v>730.78301296757377</v>
      </c>
      <c r="M452" s="4">
        <f t="shared" si="71"/>
        <v>2760000000</v>
      </c>
      <c r="N452" s="4"/>
      <c r="O452" s="8"/>
      <c r="P452">
        <v>451</v>
      </c>
      <c r="Q452" s="1">
        <v>701917500000000</v>
      </c>
      <c r="R452" s="4">
        <v>2760000000</v>
      </c>
      <c r="S452">
        <f>ROUND(1.02^A452,2)</f>
        <v>7562.71</v>
      </c>
      <c r="T452" t="str">
        <f t="shared" si="70"/>
        <v>451,701917500000000,2760000000,7562,71</v>
      </c>
    </row>
    <row r="453" spans="1:20" x14ac:dyDescent="0.25">
      <c r="A453">
        <f t="shared" ref="A453:A501" si="79">+A452+1</f>
        <v>452</v>
      </c>
      <c r="B453" s="1">
        <v>707444200000000</v>
      </c>
      <c r="C453" s="1">
        <v>5526700000000</v>
      </c>
      <c r="E453" s="1">
        <f>+S453*10000</f>
        <v>77139600</v>
      </c>
      <c r="F453" s="1">
        <f t="shared" si="72"/>
        <v>71926.740610529479</v>
      </c>
      <c r="G453" s="1">
        <f t="shared" si="73"/>
        <v>35963.37030526474</v>
      </c>
      <c r="H453" s="1">
        <f t="shared" si="74"/>
        <v>14385.348122105896</v>
      </c>
      <c r="I453" s="1">
        <f t="shared" si="75"/>
        <v>7192.6740610529478</v>
      </c>
      <c r="J453" s="1">
        <f t="shared" si="76"/>
        <v>4795.1160407019652</v>
      </c>
      <c r="K453" s="1">
        <f t="shared" si="77"/>
        <v>2397.5580203509826</v>
      </c>
      <c r="L453" s="1">
        <f t="shared" si="78"/>
        <v>719.26740610529487</v>
      </c>
      <c r="M453" s="4">
        <f t="shared" si="71"/>
        <v>2770000000</v>
      </c>
      <c r="N453" s="4"/>
      <c r="O453" s="8"/>
      <c r="P453">
        <v>452</v>
      </c>
      <c r="Q453" s="1">
        <v>707444200000000</v>
      </c>
      <c r="R453" s="4">
        <v>2770000000</v>
      </c>
      <c r="S453">
        <f>ROUND(1.02^A453,2)</f>
        <v>7713.96</v>
      </c>
      <c r="T453" t="str">
        <f t="shared" si="70"/>
        <v>452,707444200000000,2770000000,7713,96</v>
      </c>
    </row>
    <row r="454" spans="1:20" x14ac:dyDescent="0.25">
      <c r="A454">
        <f t="shared" si="79"/>
        <v>453</v>
      </c>
      <c r="B454" s="1">
        <v>712992600000000</v>
      </c>
      <c r="C454" s="1">
        <v>5548400000000</v>
      </c>
      <c r="E454" s="1">
        <f>+S454*10000</f>
        <v>78682400</v>
      </c>
      <c r="F454" s="1">
        <f t="shared" si="72"/>
        <v>70792.197492704843</v>
      </c>
      <c r="G454" s="1">
        <f t="shared" si="73"/>
        <v>35396.098746352422</v>
      </c>
      <c r="H454" s="1">
        <f t="shared" si="74"/>
        <v>14158.439498540969</v>
      </c>
      <c r="I454" s="1">
        <f t="shared" si="75"/>
        <v>7079.2197492704845</v>
      </c>
      <c r="J454" s="1">
        <f t="shared" si="76"/>
        <v>4719.4798328469897</v>
      </c>
      <c r="K454" s="1">
        <f t="shared" si="77"/>
        <v>2359.7399164234948</v>
      </c>
      <c r="L454" s="1">
        <f t="shared" si="78"/>
        <v>707.9219749270485</v>
      </c>
      <c r="M454" s="4">
        <f t="shared" si="71"/>
        <v>2790000000</v>
      </c>
      <c r="N454" s="4"/>
      <c r="O454" s="8"/>
      <c r="P454">
        <v>453</v>
      </c>
      <c r="Q454" s="1">
        <v>712992600000000</v>
      </c>
      <c r="R454" s="4">
        <v>2790000000</v>
      </c>
      <c r="S454">
        <f>ROUND(1.02^A454,2)</f>
        <v>7868.24</v>
      </c>
      <c r="T454" t="str">
        <f t="shared" si="70"/>
        <v>453,712992600000000,2790000000,7868,24</v>
      </c>
    </row>
    <row r="455" spans="1:20" x14ac:dyDescent="0.25">
      <c r="A455">
        <f t="shared" si="79"/>
        <v>454</v>
      </c>
      <c r="B455" s="1">
        <v>718562700000000</v>
      </c>
      <c r="C455" s="1">
        <v>5570100000000</v>
      </c>
      <c r="E455" s="1">
        <f>+S455*10000</f>
        <v>80256100</v>
      </c>
      <c r="F455" s="1">
        <f t="shared" si="72"/>
        <v>69674.45465204514</v>
      </c>
      <c r="G455" s="1">
        <f t="shared" si="73"/>
        <v>34837.22732602257</v>
      </c>
      <c r="H455" s="1">
        <f t="shared" si="74"/>
        <v>13934.890930409028</v>
      </c>
      <c r="I455" s="1">
        <f t="shared" si="75"/>
        <v>6967.4454652045142</v>
      </c>
      <c r="J455" s="1">
        <f t="shared" si="76"/>
        <v>4644.9636434696758</v>
      </c>
      <c r="K455" s="1">
        <f t="shared" si="77"/>
        <v>2322.4818217348379</v>
      </c>
      <c r="L455" s="1">
        <f t="shared" si="78"/>
        <v>696.74454652045142</v>
      </c>
      <c r="M455" s="4">
        <f t="shared" si="71"/>
        <v>2800000000</v>
      </c>
      <c r="N455" s="4"/>
      <c r="O455" s="8"/>
      <c r="P455">
        <v>454</v>
      </c>
      <c r="Q455" s="1">
        <v>718562700000000</v>
      </c>
      <c r="R455" s="4">
        <v>2800000000</v>
      </c>
      <c r="S455">
        <f>ROUND(1.02^A455,2)</f>
        <v>8025.61</v>
      </c>
      <c r="T455" t="str">
        <f t="shared" si="70"/>
        <v>454,718562700000000,2800000000,8025,61</v>
      </c>
    </row>
    <row r="456" spans="1:20" x14ac:dyDescent="0.25">
      <c r="A456">
        <f t="shared" si="79"/>
        <v>455</v>
      </c>
      <c r="B456" s="1">
        <v>724154500000000</v>
      </c>
      <c r="C456" s="1">
        <v>5591800000000</v>
      </c>
      <c r="E456" s="1">
        <f>+S456*10000</f>
        <v>81861200</v>
      </c>
      <c r="F456" s="1">
        <f t="shared" si="72"/>
        <v>68573.390079793608</v>
      </c>
      <c r="G456" s="1">
        <f t="shared" si="73"/>
        <v>34286.695039896804</v>
      </c>
      <c r="H456" s="1">
        <f t="shared" si="74"/>
        <v>13714.67801595872</v>
      </c>
      <c r="I456" s="1">
        <f t="shared" si="75"/>
        <v>6857.3390079793598</v>
      </c>
      <c r="J456" s="1">
        <f t="shared" si="76"/>
        <v>4571.5593386529072</v>
      </c>
      <c r="K456" s="1">
        <f t="shared" si="77"/>
        <v>2285.7796693264536</v>
      </c>
      <c r="L456" s="1">
        <f t="shared" si="78"/>
        <v>685.73390079793603</v>
      </c>
      <c r="M456" s="4">
        <f t="shared" si="71"/>
        <v>2810000000</v>
      </c>
      <c r="N456" s="4"/>
      <c r="O456" s="8"/>
      <c r="P456">
        <v>455</v>
      </c>
      <c r="Q456" s="1">
        <v>724154500000000</v>
      </c>
      <c r="R456" s="4">
        <v>2810000000</v>
      </c>
      <c r="S456">
        <f>ROUND(1.02^A456,2)</f>
        <v>8186.12</v>
      </c>
      <c r="T456" t="str">
        <f t="shared" si="70"/>
        <v>455,724154500000000,2810000000,8186,12</v>
      </c>
    </row>
    <row r="457" spans="1:20" x14ac:dyDescent="0.25">
      <c r="A457">
        <f t="shared" si="79"/>
        <v>456</v>
      </c>
      <c r="B457" s="1">
        <v>729768000000000</v>
      </c>
      <c r="C457" s="1">
        <v>5613500000000</v>
      </c>
      <c r="E457" s="1">
        <f>+S457*10000</f>
        <v>83498400</v>
      </c>
      <c r="F457" s="1">
        <f t="shared" si="72"/>
        <v>67488.718346698864</v>
      </c>
      <c r="G457" s="1">
        <f t="shared" si="73"/>
        <v>33744.359173349432</v>
      </c>
      <c r="H457" s="1">
        <f t="shared" si="74"/>
        <v>13497.743669339772</v>
      </c>
      <c r="I457" s="1">
        <f t="shared" si="75"/>
        <v>6748.8718346698861</v>
      </c>
      <c r="J457" s="1">
        <f t="shared" si="76"/>
        <v>4499.2478897799238</v>
      </c>
      <c r="K457" s="1">
        <f t="shared" si="77"/>
        <v>2249.6239448899619</v>
      </c>
      <c r="L457" s="1">
        <f t="shared" si="78"/>
        <v>674.88718346698863</v>
      </c>
      <c r="M457" s="4">
        <f t="shared" si="71"/>
        <v>2820000000</v>
      </c>
      <c r="N457" s="4"/>
      <c r="O457" s="8"/>
      <c r="P457">
        <v>456</v>
      </c>
      <c r="Q457" s="1">
        <v>729768000000000</v>
      </c>
      <c r="R457" s="4">
        <v>2820000000</v>
      </c>
      <c r="S457">
        <f>ROUND(1.02^A457,2)</f>
        <v>8349.84</v>
      </c>
      <c r="T457" t="str">
        <f t="shared" si="70"/>
        <v>456,729768000000000,2820000000,8349,84</v>
      </c>
    </row>
    <row r="458" spans="1:20" x14ac:dyDescent="0.25">
      <c r="A458">
        <f t="shared" si="79"/>
        <v>457</v>
      </c>
      <c r="B458" s="1">
        <v>735403200000000</v>
      </c>
      <c r="C458" s="1">
        <v>5635200000000</v>
      </c>
      <c r="E458" s="1">
        <f>+S458*10000</f>
        <v>85168400</v>
      </c>
      <c r="F458" s="1">
        <f t="shared" si="72"/>
        <v>66420.174618755307</v>
      </c>
      <c r="G458" s="1">
        <f t="shared" si="73"/>
        <v>33210.087309377654</v>
      </c>
      <c r="H458" s="1">
        <f t="shared" si="74"/>
        <v>13284.034923751062</v>
      </c>
      <c r="I458" s="1">
        <f t="shared" si="75"/>
        <v>6642.0174618755309</v>
      </c>
      <c r="J458" s="1">
        <f t="shared" si="76"/>
        <v>4428.0116412503539</v>
      </c>
      <c r="K458" s="1">
        <f t="shared" si="77"/>
        <v>2214.005820625177</v>
      </c>
      <c r="L458" s="1">
        <f t="shared" si="78"/>
        <v>664.20174618755311</v>
      </c>
      <c r="M458" s="4">
        <f t="shared" si="71"/>
        <v>2830000000</v>
      </c>
      <c r="N458" s="4"/>
      <c r="O458" s="8"/>
      <c r="P458">
        <v>457</v>
      </c>
      <c r="Q458" s="1">
        <v>735403200000000</v>
      </c>
      <c r="R458" s="4">
        <v>2830000000</v>
      </c>
      <c r="S458">
        <f>ROUND(1.02^A458,2)</f>
        <v>8516.84</v>
      </c>
      <c r="T458" t="str">
        <f t="shared" si="70"/>
        <v>457,735403200000000,2830000000,8516,84</v>
      </c>
    </row>
    <row r="459" spans="1:20" x14ac:dyDescent="0.25">
      <c r="A459">
        <f t="shared" si="79"/>
        <v>458</v>
      </c>
      <c r="B459" s="1">
        <v>741060100000000</v>
      </c>
      <c r="C459" s="1">
        <v>5656900000000</v>
      </c>
      <c r="E459" s="1">
        <f>+S459*10000</f>
        <v>86871800</v>
      </c>
      <c r="F459" s="1">
        <f t="shared" si="72"/>
        <v>65367.587640638274</v>
      </c>
      <c r="G459" s="1">
        <f t="shared" si="73"/>
        <v>32683.793820319137</v>
      </c>
      <c r="H459" s="1">
        <f t="shared" si="74"/>
        <v>13073.517528127655</v>
      </c>
      <c r="I459" s="1">
        <f t="shared" si="75"/>
        <v>6536.7587640638276</v>
      </c>
      <c r="J459" s="1">
        <f t="shared" si="76"/>
        <v>4357.839176042552</v>
      </c>
      <c r="K459" s="1">
        <f t="shared" si="77"/>
        <v>2178.919588021276</v>
      </c>
      <c r="L459" s="1">
        <f t="shared" si="78"/>
        <v>653.67587640638271</v>
      </c>
      <c r="M459" s="4">
        <f t="shared" si="71"/>
        <v>2840000000</v>
      </c>
      <c r="N459" s="4"/>
      <c r="O459" s="8"/>
      <c r="P459">
        <v>458</v>
      </c>
      <c r="Q459" s="1">
        <v>741060100000000</v>
      </c>
      <c r="R459" s="4">
        <v>2840000000</v>
      </c>
      <c r="S459">
        <f>ROUND(1.02^A459,2)</f>
        <v>8687.18</v>
      </c>
      <c r="T459" t="str">
        <f t="shared" si="70"/>
        <v>458,741060100000000,2840000000,8687,18</v>
      </c>
    </row>
    <row r="460" spans="1:20" x14ac:dyDescent="0.25">
      <c r="A460">
        <f t="shared" si="79"/>
        <v>459</v>
      </c>
      <c r="B460" s="1">
        <v>746738700000000</v>
      </c>
      <c r="C460" s="1">
        <v>5678600000000</v>
      </c>
      <c r="E460" s="1">
        <f>+S460*10000</f>
        <v>88609200</v>
      </c>
      <c r="F460" s="1">
        <f t="shared" si="72"/>
        <v>64330.791836513592</v>
      </c>
      <c r="G460" s="1">
        <f t="shared" si="73"/>
        <v>32165.395918256796</v>
      </c>
      <c r="H460" s="1">
        <f t="shared" si="74"/>
        <v>12866.158367302718</v>
      </c>
      <c r="I460" s="1">
        <f t="shared" si="75"/>
        <v>6433.079183651359</v>
      </c>
      <c r="J460" s="1">
        <f t="shared" si="76"/>
        <v>4288.719455767573</v>
      </c>
      <c r="K460" s="1">
        <f t="shared" si="77"/>
        <v>2144.3597278837865</v>
      </c>
      <c r="L460" s="1">
        <f t="shared" si="78"/>
        <v>643.30791836513595</v>
      </c>
      <c r="M460" s="4">
        <f t="shared" si="71"/>
        <v>2850000000</v>
      </c>
      <c r="N460" s="4"/>
      <c r="O460" s="8"/>
      <c r="P460">
        <v>459</v>
      </c>
      <c r="Q460" s="1">
        <v>746738700000000</v>
      </c>
      <c r="R460" s="4">
        <v>2850000000</v>
      </c>
      <c r="S460">
        <f>ROUND(1.02^A460,2)</f>
        <v>8860.92</v>
      </c>
      <c r="T460" t="str">
        <f t="shared" si="70"/>
        <v>459,746738700000000,2850000000,8860,92</v>
      </c>
    </row>
    <row r="461" spans="1:20" x14ac:dyDescent="0.25">
      <c r="A461">
        <f t="shared" si="79"/>
        <v>460</v>
      </c>
      <c r="B461" s="1">
        <v>752439000000000</v>
      </c>
      <c r="C461" s="1">
        <v>5700300000000</v>
      </c>
      <c r="E461" s="1">
        <f>+S461*10000</f>
        <v>90381400</v>
      </c>
      <c r="F461" s="1">
        <f t="shared" si="72"/>
        <v>63309.486243851061</v>
      </c>
      <c r="G461" s="1">
        <f t="shared" si="73"/>
        <v>31654.74312192553</v>
      </c>
      <c r="H461" s="1">
        <f t="shared" si="74"/>
        <v>12661.897248770212</v>
      </c>
      <c r="I461" s="1">
        <f t="shared" si="75"/>
        <v>6330.9486243851061</v>
      </c>
      <c r="J461" s="1">
        <f t="shared" si="76"/>
        <v>4220.6324162567371</v>
      </c>
      <c r="K461" s="1">
        <f t="shared" si="77"/>
        <v>2110.3162081283685</v>
      </c>
      <c r="L461" s="1">
        <f t="shared" si="78"/>
        <v>633.09486243851063</v>
      </c>
      <c r="M461" s="4">
        <f t="shared" si="71"/>
        <v>2860000000</v>
      </c>
      <c r="N461" s="4"/>
      <c r="O461" s="8"/>
      <c r="P461">
        <v>460</v>
      </c>
      <c r="Q461" s="1">
        <v>752439000000000</v>
      </c>
      <c r="R461" s="4">
        <v>2860000000</v>
      </c>
      <c r="S461">
        <f>ROUND(1.02^A461,2)</f>
        <v>9038.14</v>
      </c>
      <c r="T461" t="str">
        <f t="shared" si="70"/>
        <v>460,752439000000000,2860000000,9038,14</v>
      </c>
    </row>
    <row r="462" spans="1:20" x14ac:dyDescent="0.25">
      <c r="A462">
        <f t="shared" si="79"/>
        <v>461</v>
      </c>
      <c r="B462" s="1">
        <v>758161000000000</v>
      </c>
      <c r="C462" s="1">
        <v>5722000000000</v>
      </c>
      <c r="E462" s="1">
        <f>+S462*10000</f>
        <v>92189000</v>
      </c>
      <c r="F462" s="1">
        <f t="shared" si="72"/>
        <v>62303.52862055126</v>
      </c>
      <c r="G462" s="1">
        <f t="shared" si="73"/>
        <v>31151.76431027563</v>
      </c>
      <c r="H462" s="1">
        <f t="shared" si="74"/>
        <v>12460.705724110252</v>
      </c>
      <c r="I462" s="1">
        <f t="shared" si="75"/>
        <v>6230.352862055126</v>
      </c>
      <c r="J462" s="1">
        <f t="shared" si="76"/>
        <v>4153.5685747034177</v>
      </c>
      <c r="K462" s="1">
        <f t="shared" si="77"/>
        <v>2076.7842873517088</v>
      </c>
      <c r="L462" s="1">
        <f t="shared" si="78"/>
        <v>623.03528620551253</v>
      </c>
      <c r="M462" s="4">
        <f t="shared" si="71"/>
        <v>2870000000</v>
      </c>
      <c r="N462" s="4"/>
      <c r="O462" s="8"/>
      <c r="P462">
        <v>461</v>
      </c>
      <c r="Q462" s="1">
        <v>758161000000000</v>
      </c>
      <c r="R462" s="4">
        <v>2870000000</v>
      </c>
      <c r="S462">
        <f>ROUND(1.02^A462,2)</f>
        <v>9218.9</v>
      </c>
      <c r="T462" t="str">
        <f t="shared" si="70"/>
        <v>461,758161000000000,2870000000,9218,9</v>
      </c>
    </row>
    <row r="463" spans="1:20" x14ac:dyDescent="0.25">
      <c r="A463">
        <f t="shared" si="79"/>
        <v>462</v>
      </c>
      <c r="B463" s="1">
        <v>763904700000000</v>
      </c>
      <c r="C463" s="1">
        <v>5743700000000</v>
      </c>
      <c r="E463" s="1">
        <f>+S463*10000</f>
        <v>94032800</v>
      </c>
      <c r="F463" s="1">
        <f t="shared" si="72"/>
        <v>61312.64835248977</v>
      </c>
      <c r="G463" s="1">
        <f t="shared" si="73"/>
        <v>30656.324176244885</v>
      </c>
      <c r="H463" s="1">
        <f t="shared" si="74"/>
        <v>12262.529670497954</v>
      </c>
      <c r="I463" s="1">
        <f t="shared" si="75"/>
        <v>6131.2648352489769</v>
      </c>
      <c r="J463" s="1">
        <f t="shared" si="76"/>
        <v>4087.5098901659844</v>
      </c>
      <c r="K463" s="1">
        <f t="shared" si="77"/>
        <v>2043.7549450829922</v>
      </c>
      <c r="L463" s="1">
        <f t="shared" si="78"/>
        <v>613.12648352489771</v>
      </c>
      <c r="M463" s="4">
        <f t="shared" si="71"/>
        <v>2880000000</v>
      </c>
      <c r="N463" s="4"/>
      <c r="O463" s="8"/>
      <c r="P463">
        <v>462</v>
      </c>
      <c r="Q463" s="1">
        <v>763904700000000</v>
      </c>
      <c r="R463" s="4">
        <v>2880000000</v>
      </c>
      <c r="S463">
        <f>ROUND(1.02^A463,2)</f>
        <v>9403.2800000000007</v>
      </c>
      <c r="T463" t="str">
        <f t="shared" si="70"/>
        <v>462,763904700000000,2880000000,9403,28</v>
      </c>
    </row>
    <row r="464" spans="1:20" x14ac:dyDescent="0.25">
      <c r="A464">
        <f t="shared" si="79"/>
        <v>463</v>
      </c>
      <c r="B464" s="1">
        <v>769670100000000</v>
      </c>
      <c r="C464" s="1">
        <v>5765400000000</v>
      </c>
      <c r="E464" s="1">
        <f>+S464*10000</f>
        <v>95913500</v>
      </c>
      <c r="F464" s="1">
        <f t="shared" si="72"/>
        <v>60336.657509109769</v>
      </c>
      <c r="G464" s="1">
        <f t="shared" si="73"/>
        <v>30168.328754554885</v>
      </c>
      <c r="H464" s="1">
        <f t="shared" si="74"/>
        <v>12067.331501821955</v>
      </c>
      <c r="I464" s="1">
        <f t="shared" si="75"/>
        <v>6033.6657509109773</v>
      </c>
      <c r="J464" s="1">
        <f t="shared" si="76"/>
        <v>4022.4438339406515</v>
      </c>
      <c r="K464" s="1">
        <f t="shared" si="77"/>
        <v>2011.2219169703258</v>
      </c>
      <c r="L464" s="1">
        <f t="shared" si="78"/>
        <v>603.36657509109773</v>
      </c>
      <c r="M464" s="4">
        <f t="shared" si="71"/>
        <v>2890000000</v>
      </c>
      <c r="N464" s="4"/>
      <c r="O464" s="8"/>
      <c r="P464">
        <v>463</v>
      </c>
      <c r="Q464" s="1">
        <v>769670100000000</v>
      </c>
      <c r="R464" s="4">
        <v>2890000000</v>
      </c>
      <c r="S464">
        <f>ROUND(1.02^A464,2)</f>
        <v>9591.35</v>
      </c>
      <c r="T464" t="str">
        <f t="shared" si="70"/>
        <v>463,769670100000000,2890000000,9591,35</v>
      </c>
    </row>
    <row r="465" spans="1:20" x14ac:dyDescent="0.25">
      <c r="A465">
        <f t="shared" si="79"/>
        <v>464</v>
      </c>
      <c r="B465" s="1">
        <v>775457200000000</v>
      </c>
      <c r="C465" s="1">
        <v>5787100000000</v>
      </c>
      <c r="E465" s="1">
        <f>+S465*10000</f>
        <v>97831700</v>
      </c>
      <c r="F465" s="1">
        <f t="shared" si="72"/>
        <v>59375.437613779584</v>
      </c>
      <c r="G465" s="1">
        <f t="shared" si="73"/>
        <v>29687.718806889792</v>
      </c>
      <c r="H465" s="1">
        <f t="shared" si="74"/>
        <v>11875.087522755917</v>
      </c>
      <c r="I465" s="1">
        <f t="shared" si="75"/>
        <v>5937.5437613779586</v>
      </c>
      <c r="J465" s="1">
        <f t="shared" si="76"/>
        <v>3958.3625075853056</v>
      </c>
      <c r="K465" s="1">
        <f t="shared" si="77"/>
        <v>1979.1812537926528</v>
      </c>
      <c r="L465" s="1">
        <f t="shared" si="78"/>
        <v>593.75437613779582</v>
      </c>
      <c r="M465" s="4">
        <f t="shared" si="71"/>
        <v>2900000000</v>
      </c>
      <c r="N465" s="4"/>
      <c r="O465" s="8"/>
      <c r="P465">
        <v>464</v>
      </c>
      <c r="Q465" s="1">
        <v>775457200000000</v>
      </c>
      <c r="R465" s="4">
        <v>2900000000</v>
      </c>
      <c r="S465">
        <f>ROUND(1.02^A465,2)</f>
        <v>9783.17</v>
      </c>
      <c r="T465" t="str">
        <f t="shared" si="70"/>
        <v>464,775457200000000,2900000000,9783,17</v>
      </c>
    </row>
    <row r="466" spans="1:20" x14ac:dyDescent="0.25">
      <c r="A466">
        <f t="shared" si="79"/>
        <v>465</v>
      </c>
      <c r="B466" s="1">
        <v>781266000000000</v>
      </c>
      <c r="C466" s="1">
        <v>5808800000000</v>
      </c>
      <c r="E466" s="1">
        <f>+S466*10000</f>
        <v>99788400</v>
      </c>
      <c r="F466" s="1">
        <f t="shared" si="72"/>
        <v>58428.634991642313</v>
      </c>
      <c r="G466" s="1">
        <f t="shared" si="73"/>
        <v>29214.317495821157</v>
      </c>
      <c r="H466" s="1">
        <f t="shared" si="74"/>
        <v>11685.726998328462</v>
      </c>
      <c r="I466" s="1">
        <f t="shared" si="75"/>
        <v>5842.8634991642311</v>
      </c>
      <c r="J466" s="1">
        <f t="shared" si="76"/>
        <v>3895.2423327761544</v>
      </c>
      <c r="K466" s="1">
        <f t="shared" si="77"/>
        <v>1947.6211663880772</v>
      </c>
      <c r="L466" s="1">
        <f t="shared" si="78"/>
        <v>584.28634991642321</v>
      </c>
      <c r="M466" s="4">
        <f t="shared" si="71"/>
        <v>2920000000</v>
      </c>
      <c r="N466" s="4"/>
      <c r="O466" s="8"/>
      <c r="P466">
        <v>465</v>
      </c>
      <c r="Q466" s="1">
        <v>781266000000000</v>
      </c>
      <c r="R466" s="4">
        <v>2920000000</v>
      </c>
      <c r="S466">
        <f>ROUND(1.02^A466,2)</f>
        <v>9978.84</v>
      </c>
      <c r="T466" t="str">
        <f t="shared" si="70"/>
        <v>465,781266000000000,2920000000,9978,84</v>
      </c>
    </row>
    <row r="467" spans="1:20" x14ac:dyDescent="0.25">
      <c r="A467">
        <f t="shared" si="79"/>
        <v>466</v>
      </c>
      <c r="B467" s="1">
        <v>787096500000000</v>
      </c>
      <c r="C467" s="1">
        <v>5830500000000</v>
      </c>
      <c r="E467" s="1">
        <f>+S467*10000</f>
        <v>101784100</v>
      </c>
      <c r="F467" s="1">
        <f t="shared" si="72"/>
        <v>57496.210115332353</v>
      </c>
      <c r="G467" s="1">
        <f t="shared" si="73"/>
        <v>28748.105057666176</v>
      </c>
      <c r="H467" s="1">
        <f t="shared" si="74"/>
        <v>11499.24202306647</v>
      </c>
      <c r="I467" s="1">
        <f t="shared" si="75"/>
        <v>5749.6210115332351</v>
      </c>
      <c r="J467" s="1">
        <f t="shared" si="76"/>
        <v>3833.0806743554904</v>
      </c>
      <c r="K467" s="1">
        <f t="shared" si="77"/>
        <v>1916.5403371777452</v>
      </c>
      <c r="L467" s="1">
        <f t="shared" si="78"/>
        <v>574.9621011533236</v>
      </c>
      <c r="M467" s="4">
        <f t="shared" si="71"/>
        <v>2930000000</v>
      </c>
      <c r="N467" s="4"/>
      <c r="O467" s="8"/>
      <c r="P467">
        <v>466</v>
      </c>
      <c r="Q467" s="1">
        <v>787096500000000</v>
      </c>
      <c r="R467" s="4">
        <v>2930000000</v>
      </c>
      <c r="S467">
        <f>ROUND(1.02^A467,2)</f>
        <v>10178.41</v>
      </c>
      <c r="T467" t="str">
        <f t="shared" si="70"/>
        <v>466,787096500000000,2930000000,10178,41</v>
      </c>
    </row>
    <row r="468" spans="1:20" x14ac:dyDescent="0.25">
      <c r="A468">
        <f t="shared" si="79"/>
        <v>467</v>
      </c>
      <c r="B468" s="1">
        <v>792948700000000</v>
      </c>
      <c r="C468" s="1">
        <v>5852200000000</v>
      </c>
      <c r="E468" s="1">
        <f>+S468*10000</f>
        <v>103819800</v>
      </c>
      <c r="F468" s="1">
        <f t="shared" si="72"/>
        <v>56577.839679906916</v>
      </c>
      <c r="G468" s="1">
        <f t="shared" si="73"/>
        <v>28288.919839953458</v>
      </c>
      <c r="H468" s="1">
        <f t="shared" si="74"/>
        <v>11315.567935981384</v>
      </c>
      <c r="I468" s="1">
        <f t="shared" si="75"/>
        <v>5657.783967990692</v>
      </c>
      <c r="J468" s="1">
        <f t="shared" si="76"/>
        <v>3771.855978660461</v>
      </c>
      <c r="K468" s="1">
        <f t="shared" si="77"/>
        <v>1885.9279893302305</v>
      </c>
      <c r="L468" s="1">
        <f t="shared" si="78"/>
        <v>565.77839679906913</v>
      </c>
      <c r="M468" s="4">
        <f t="shared" si="71"/>
        <v>2940000000</v>
      </c>
      <c r="N468" s="4"/>
      <c r="O468" s="8"/>
      <c r="P468">
        <v>467</v>
      </c>
      <c r="Q468" s="1">
        <v>792948700000000</v>
      </c>
      <c r="R468" s="4">
        <v>2940000000</v>
      </c>
      <c r="S468">
        <f>ROUND(1.02^A468,2)</f>
        <v>10381.98</v>
      </c>
      <c r="T468" t="str">
        <f t="shared" si="70"/>
        <v>467,792948700000000,2940000000,10381,98</v>
      </c>
    </row>
    <row r="469" spans="1:20" x14ac:dyDescent="0.25">
      <c r="A469">
        <f t="shared" si="79"/>
        <v>468</v>
      </c>
      <c r="B469" s="1">
        <v>798822600000000</v>
      </c>
      <c r="C469" s="1">
        <v>5873900000000</v>
      </c>
      <c r="E469" s="1">
        <f>+S469*10000</f>
        <v>105896200.00000001</v>
      </c>
      <c r="F469" s="1">
        <f t="shared" si="72"/>
        <v>55673.385824987105</v>
      </c>
      <c r="G469" s="1">
        <f t="shared" si="73"/>
        <v>27836.692912493552</v>
      </c>
      <c r="H469" s="1">
        <f t="shared" si="74"/>
        <v>11134.677164997422</v>
      </c>
      <c r="I469" s="1">
        <f t="shared" si="75"/>
        <v>5567.3385824987108</v>
      </c>
      <c r="J469" s="1">
        <f t="shared" si="76"/>
        <v>3711.5590549991402</v>
      </c>
      <c r="K469" s="1">
        <f t="shared" si="77"/>
        <v>1855.7795274995701</v>
      </c>
      <c r="L469" s="1">
        <f t="shared" si="78"/>
        <v>556.73385824987099</v>
      </c>
      <c r="M469" s="4">
        <f t="shared" si="71"/>
        <v>2950000000</v>
      </c>
      <c r="N469" s="4"/>
      <c r="O469" s="8"/>
      <c r="P469">
        <v>468</v>
      </c>
      <c r="Q469" s="1">
        <v>798822600000000</v>
      </c>
      <c r="R469" s="4">
        <v>2950000000</v>
      </c>
      <c r="S469">
        <f>ROUND(1.02^A469,2)</f>
        <v>10589.62</v>
      </c>
      <c r="T469" t="str">
        <f t="shared" si="70"/>
        <v>468,798822600000000,2950000000,10589,62</v>
      </c>
    </row>
    <row r="470" spans="1:20" x14ac:dyDescent="0.25">
      <c r="A470">
        <f t="shared" si="79"/>
        <v>469</v>
      </c>
      <c r="B470" s="1">
        <v>804718200000000</v>
      </c>
      <c r="C470" s="1">
        <v>5895600000000</v>
      </c>
      <c r="E470" s="1">
        <f>+S470*10000</f>
        <v>108014100</v>
      </c>
      <c r="F470" s="1">
        <f t="shared" si="72"/>
        <v>54782.662633859836</v>
      </c>
      <c r="G470" s="1">
        <f t="shared" si="73"/>
        <v>27391.331316929918</v>
      </c>
      <c r="H470" s="1">
        <f t="shared" si="74"/>
        <v>10956.532526771967</v>
      </c>
      <c r="I470" s="1">
        <f t="shared" si="75"/>
        <v>5478.2662633859836</v>
      </c>
      <c r="J470" s="1">
        <f t="shared" si="76"/>
        <v>3652.1775089239891</v>
      </c>
      <c r="K470" s="1">
        <f t="shared" si="77"/>
        <v>1826.0887544619945</v>
      </c>
      <c r="L470" s="1">
        <f t="shared" si="78"/>
        <v>547.82662633859843</v>
      </c>
      <c r="M470" s="4">
        <f t="shared" si="71"/>
        <v>2960000000</v>
      </c>
      <c r="N470" s="4"/>
      <c r="O470" s="8"/>
      <c r="P470">
        <v>469</v>
      </c>
      <c r="Q470" s="1">
        <v>804718200000000</v>
      </c>
      <c r="R470" s="4">
        <v>2960000000</v>
      </c>
      <c r="S470">
        <f>ROUND(1.02^A470,2)</f>
        <v>10801.41</v>
      </c>
      <c r="T470" t="str">
        <f t="shared" si="70"/>
        <v>469,804718200000000,2960000000,10801,41</v>
      </c>
    </row>
    <row r="471" spans="1:20" x14ac:dyDescent="0.25">
      <c r="A471">
        <f t="shared" si="79"/>
        <v>470</v>
      </c>
      <c r="B471" s="1">
        <v>810635500000000</v>
      </c>
      <c r="C471" s="1">
        <v>5917300000000</v>
      </c>
      <c r="E471" s="1">
        <f>+S471*10000</f>
        <v>110174400</v>
      </c>
      <c r="F471" s="1">
        <f t="shared" si="72"/>
        <v>53905.444458966871</v>
      </c>
      <c r="G471" s="1">
        <f t="shared" si="73"/>
        <v>26952.722229483436</v>
      </c>
      <c r="H471" s="1">
        <f t="shared" si="74"/>
        <v>10781.088891793375</v>
      </c>
      <c r="I471" s="1">
        <f t="shared" si="75"/>
        <v>5390.5444458966876</v>
      </c>
      <c r="J471" s="1">
        <f t="shared" si="76"/>
        <v>3593.6962972644583</v>
      </c>
      <c r="K471" s="1">
        <f t="shared" si="77"/>
        <v>1796.8481486322291</v>
      </c>
      <c r="L471" s="1">
        <f t="shared" si="78"/>
        <v>539.05444458966872</v>
      </c>
      <c r="M471" s="4">
        <f t="shared" si="71"/>
        <v>2970000000</v>
      </c>
      <c r="N471" s="4"/>
      <c r="O471" s="8"/>
      <c r="P471">
        <v>470</v>
      </c>
      <c r="Q471" s="1">
        <v>810635500000000</v>
      </c>
      <c r="R471" s="4">
        <v>2970000000</v>
      </c>
      <c r="S471">
        <f>ROUND(1.02^A471,2)</f>
        <v>11017.44</v>
      </c>
      <c r="T471" t="str">
        <f t="shared" si="70"/>
        <v>470,810635500000000,2970000000,11017,44</v>
      </c>
    </row>
    <row r="472" spans="1:20" x14ac:dyDescent="0.25">
      <c r="A472">
        <f t="shared" si="79"/>
        <v>471</v>
      </c>
      <c r="B472" s="1">
        <v>816574500000000</v>
      </c>
      <c r="C472" s="1">
        <v>5939000000000</v>
      </c>
      <c r="E472" s="1">
        <f>+S472*10000</f>
        <v>112377900.00000001</v>
      </c>
      <c r="F472" s="1">
        <f t="shared" si="72"/>
        <v>53041.567781565587</v>
      </c>
      <c r="G472" s="1">
        <f t="shared" si="73"/>
        <v>26520.783890782794</v>
      </c>
      <c r="H472" s="1">
        <f t="shared" si="74"/>
        <v>10608.313556313116</v>
      </c>
      <c r="I472" s="1">
        <f t="shared" si="75"/>
        <v>5304.1567781565582</v>
      </c>
      <c r="J472" s="1">
        <f t="shared" si="76"/>
        <v>3536.1045187710388</v>
      </c>
      <c r="K472" s="1">
        <f t="shared" si="77"/>
        <v>1768.0522593855194</v>
      </c>
      <c r="L472" s="1">
        <f t="shared" si="78"/>
        <v>530.41567781565584</v>
      </c>
      <c r="M472" s="4">
        <f t="shared" si="71"/>
        <v>2980000000</v>
      </c>
      <c r="N472" s="4"/>
      <c r="O472" s="8"/>
      <c r="P472">
        <v>471</v>
      </c>
      <c r="Q472" s="1">
        <v>816574500000000</v>
      </c>
      <c r="R472" s="4">
        <v>2980000000</v>
      </c>
      <c r="S472">
        <f>ROUND(1.02^A472,2)</f>
        <v>11237.79</v>
      </c>
      <c r="T472" t="str">
        <f t="shared" si="70"/>
        <v>471,816574500000000,2980000000,11237,79</v>
      </c>
    </row>
    <row r="473" spans="1:20" x14ac:dyDescent="0.25">
      <c r="A473">
        <f t="shared" si="79"/>
        <v>472</v>
      </c>
      <c r="B473" s="1">
        <v>822535200000000</v>
      </c>
      <c r="C473" s="1">
        <v>5960700000000</v>
      </c>
      <c r="E473" s="1">
        <f>+S473*10000</f>
        <v>114625500</v>
      </c>
      <c r="F473" s="1">
        <f t="shared" si="72"/>
        <v>52190.830138145524</v>
      </c>
      <c r="G473" s="1">
        <f t="shared" si="73"/>
        <v>26095.415069072762</v>
      </c>
      <c r="H473" s="1">
        <f t="shared" si="74"/>
        <v>10438.166027629106</v>
      </c>
      <c r="I473" s="1">
        <f t="shared" si="75"/>
        <v>5219.0830138145529</v>
      </c>
      <c r="J473" s="1">
        <f t="shared" si="76"/>
        <v>3479.3886758763683</v>
      </c>
      <c r="K473" s="1">
        <f t="shared" si="77"/>
        <v>1739.6943379381842</v>
      </c>
      <c r="L473" s="1">
        <f t="shared" si="78"/>
        <v>521.90830138145532</v>
      </c>
      <c r="M473" s="4">
        <f t="shared" si="71"/>
        <v>2990000000</v>
      </c>
      <c r="N473" s="4"/>
      <c r="O473" s="8"/>
      <c r="P473">
        <v>472</v>
      </c>
      <c r="Q473" s="1">
        <v>822535200000000</v>
      </c>
      <c r="R473" s="4">
        <v>2990000000</v>
      </c>
      <c r="S473">
        <f>ROUND(1.02^A473,2)</f>
        <v>11462.55</v>
      </c>
      <c r="T473" t="str">
        <f t="shared" si="70"/>
        <v>472,822535200000000,2990000000,11462,55</v>
      </c>
    </row>
    <row r="474" spans="1:20" x14ac:dyDescent="0.25">
      <c r="A474">
        <f t="shared" si="79"/>
        <v>473</v>
      </c>
      <c r="B474" s="1">
        <v>828517600000000</v>
      </c>
      <c r="C474" s="1">
        <v>5982400000000</v>
      </c>
      <c r="E474" s="1">
        <f>+S474*10000</f>
        <v>116918000</v>
      </c>
      <c r="F474" s="1">
        <f t="shared" si="72"/>
        <v>51353.085068167435</v>
      </c>
      <c r="G474" s="1">
        <f t="shared" si="73"/>
        <v>25676.542534083717</v>
      </c>
      <c r="H474" s="1">
        <f t="shared" si="74"/>
        <v>10270.617013633486</v>
      </c>
      <c r="I474" s="1">
        <f t="shared" si="75"/>
        <v>5135.3085068167429</v>
      </c>
      <c r="J474" s="1">
        <f t="shared" si="76"/>
        <v>3423.5390045444956</v>
      </c>
      <c r="K474" s="1">
        <f t="shared" si="77"/>
        <v>1711.7695022722478</v>
      </c>
      <c r="L474" s="1">
        <f t="shared" si="78"/>
        <v>513.53085068167434</v>
      </c>
      <c r="M474" s="4">
        <f t="shared" si="71"/>
        <v>3000000000</v>
      </c>
      <c r="N474" s="4"/>
      <c r="O474" s="8"/>
      <c r="P474">
        <v>473</v>
      </c>
      <c r="Q474" s="1">
        <v>828517600000000</v>
      </c>
      <c r="R474" s="4">
        <v>3000000000</v>
      </c>
      <c r="S474">
        <f>ROUND(1.02^A474,2)</f>
        <v>11691.8</v>
      </c>
      <c r="T474" t="str">
        <f t="shared" si="70"/>
        <v>473,828517600000000,3000000000,11691,8</v>
      </c>
    </row>
    <row r="475" spans="1:20" x14ac:dyDescent="0.25">
      <c r="A475">
        <f t="shared" si="79"/>
        <v>474</v>
      </c>
      <c r="B475" s="1">
        <v>834521700000000</v>
      </c>
      <c r="C475" s="1">
        <v>6004100000000</v>
      </c>
      <c r="E475" s="1">
        <f>+S475*10000</f>
        <v>119256299.99999999</v>
      </c>
      <c r="F475" s="1">
        <f t="shared" si="72"/>
        <v>50528.14819845996</v>
      </c>
      <c r="G475" s="1">
        <f t="shared" si="73"/>
        <v>25264.07409922998</v>
      </c>
      <c r="H475" s="1">
        <f t="shared" si="74"/>
        <v>10105.629639691993</v>
      </c>
      <c r="I475" s="1">
        <f t="shared" si="75"/>
        <v>5052.8148198459967</v>
      </c>
      <c r="J475" s="1">
        <f t="shared" si="76"/>
        <v>3368.5432132306642</v>
      </c>
      <c r="K475" s="1">
        <f t="shared" si="77"/>
        <v>1684.2716066153321</v>
      </c>
      <c r="L475" s="1">
        <f t="shared" si="78"/>
        <v>505.28148198459962</v>
      </c>
      <c r="M475" s="4">
        <f t="shared" si="71"/>
        <v>3010000000</v>
      </c>
      <c r="N475" s="4"/>
      <c r="O475" s="8"/>
      <c r="P475">
        <v>474</v>
      </c>
      <c r="Q475" s="1">
        <v>834521700000000</v>
      </c>
      <c r="R475" s="4">
        <v>3010000000</v>
      </c>
      <c r="S475">
        <f>ROUND(1.02^A475,2)</f>
        <v>11925.63</v>
      </c>
      <c r="T475" t="str">
        <f t="shared" si="70"/>
        <v>474,834521700000000,3010000000,11925,63</v>
      </c>
    </row>
    <row r="476" spans="1:20" x14ac:dyDescent="0.25">
      <c r="A476">
        <f t="shared" si="79"/>
        <v>475</v>
      </c>
      <c r="B476" s="1">
        <v>840547500000000</v>
      </c>
      <c r="C476" s="1">
        <v>6025800000000</v>
      </c>
      <c r="E476" s="1">
        <f>+S476*10000</f>
        <v>121641400</v>
      </c>
      <c r="F476" s="1">
        <f t="shared" si="72"/>
        <v>49715.803994363763</v>
      </c>
      <c r="G476" s="1">
        <f t="shared" si="73"/>
        <v>24857.901997181882</v>
      </c>
      <c r="H476" s="1">
        <f t="shared" si="74"/>
        <v>9943.1607988727519</v>
      </c>
      <c r="I476" s="1">
        <f t="shared" si="75"/>
        <v>4971.580399436376</v>
      </c>
      <c r="J476" s="1">
        <f t="shared" si="76"/>
        <v>3314.3869329575841</v>
      </c>
      <c r="K476" s="1">
        <f t="shared" si="77"/>
        <v>1657.1934664787921</v>
      </c>
      <c r="L476" s="1">
        <f t="shared" si="78"/>
        <v>497.15803994363762</v>
      </c>
      <c r="M476" s="4">
        <f t="shared" si="71"/>
        <v>3020000000</v>
      </c>
      <c r="N476" s="4"/>
      <c r="O476" s="8"/>
      <c r="P476">
        <v>475</v>
      </c>
      <c r="Q476" s="1">
        <v>840547500000000</v>
      </c>
      <c r="R476" s="4">
        <v>3020000000</v>
      </c>
      <c r="S476">
        <f>ROUND(1.02^A476,2)</f>
        <v>12164.14</v>
      </c>
      <c r="T476" t="str">
        <f t="shared" si="70"/>
        <v>475,840547500000000,3020000000,12164,14</v>
      </c>
    </row>
    <row r="477" spans="1:20" x14ac:dyDescent="0.25">
      <c r="A477">
        <f t="shared" si="79"/>
        <v>476</v>
      </c>
      <c r="B477" s="1">
        <v>846595000000000</v>
      </c>
      <c r="C477" s="1">
        <v>6047500000000</v>
      </c>
      <c r="E477" s="1">
        <f>+S477*10000</f>
        <v>124074300</v>
      </c>
      <c r="F477" s="1">
        <f t="shared" si="72"/>
        <v>48915.851227852989</v>
      </c>
      <c r="G477" s="1">
        <f t="shared" si="73"/>
        <v>24457.925613926494</v>
      </c>
      <c r="H477" s="1">
        <f t="shared" si="74"/>
        <v>9783.1702455705981</v>
      </c>
      <c r="I477" s="1">
        <f t="shared" si="75"/>
        <v>4891.5851227852991</v>
      </c>
      <c r="J477" s="1">
        <f t="shared" si="76"/>
        <v>3261.0567485235324</v>
      </c>
      <c r="K477" s="1">
        <f t="shared" si="77"/>
        <v>1630.5283742617662</v>
      </c>
      <c r="L477" s="1">
        <f t="shared" si="78"/>
        <v>489.15851227852988</v>
      </c>
      <c r="M477" s="4">
        <f t="shared" si="71"/>
        <v>3030000000</v>
      </c>
      <c r="N477" s="4"/>
      <c r="O477" s="8"/>
      <c r="P477">
        <v>476</v>
      </c>
      <c r="Q477" s="1">
        <v>846595000000000</v>
      </c>
      <c r="R477" s="4">
        <v>3030000000</v>
      </c>
      <c r="S477">
        <f>ROUND(1.02^A477,2)</f>
        <v>12407.43</v>
      </c>
      <c r="T477" t="str">
        <f t="shared" si="70"/>
        <v>476,846595000000000,3030000000,12407,43</v>
      </c>
    </row>
    <row r="478" spans="1:20" x14ac:dyDescent="0.25">
      <c r="A478">
        <f t="shared" si="79"/>
        <v>477</v>
      </c>
      <c r="B478" s="1">
        <v>852664200000000</v>
      </c>
      <c r="C478" s="1">
        <v>6069200000000</v>
      </c>
      <c r="E478" s="1">
        <f>+S478*10000</f>
        <v>126555800</v>
      </c>
      <c r="F478" s="1">
        <f t="shared" si="72"/>
        <v>48128.177452159442</v>
      </c>
      <c r="G478" s="1">
        <f t="shared" si="73"/>
        <v>24064.088726079721</v>
      </c>
      <c r="H478" s="1">
        <f t="shared" si="74"/>
        <v>9625.6354904318887</v>
      </c>
      <c r="I478" s="1">
        <f t="shared" si="75"/>
        <v>4812.8177452159443</v>
      </c>
      <c r="J478" s="1">
        <f t="shared" si="76"/>
        <v>3208.5451634772962</v>
      </c>
      <c r="K478" s="1">
        <f t="shared" si="77"/>
        <v>1604.2725817386481</v>
      </c>
      <c r="L478" s="1">
        <f t="shared" si="78"/>
        <v>481.2817745215944</v>
      </c>
      <c r="M478" s="4">
        <f t="shared" si="71"/>
        <v>3050000000</v>
      </c>
      <c r="N478" s="4"/>
      <c r="O478" s="8"/>
      <c r="P478">
        <v>477</v>
      </c>
      <c r="Q478" s="1">
        <v>852664200000000</v>
      </c>
      <c r="R478" s="4">
        <v>3050000000</v>
      </c>
      <c r="S478">
        <f>ROUND(1.02^A478,2)</f>
        <v>12655.58</v>
      </c>
      <c r="T478" t="str">
        <f t="shared" si="70"/>
        <v>477,852664200000000,3050000000,12655,58</v>
      </c>
    </row>
    <row r="479" spans="1:20" x14ac:dyDescent="0.25">
      <c r="A479">
        <f t="shared" si="79"/>
        <v>478</v>
      </c>
      <c r="B479" s="1">
        <v>858755100000000</v>
      </c>
      <c r="C479" s="1">
        <v>6090900000000</v>
      </c>
      <c r="E479" s="1">
        <f>+S479*10000</f>
        <v>129086900</v>
      </c>
      <c r="F479" s="1">
        <f t="shared" si="72"/>
        <v>47352.597358833467</v>
      </c>
      <c r="G479" s="1">
        <f t="shared" si="73"/>
        <v>23676.298679416734</v>
      </c>
      <c r="H479" s="1">
        <f t="shared" si="74"/>
        <v>9470.5194717666927</v>
      </c>
      <c r="I479" s="1">
        <f t="shared" si="75"/>
        <v>4735.2597358833464</v>
      </c>
      <c r="J479" s="1">
        <f t="shared" si="76"/>
        <v>3156.8398239222311</v>
      </c>
      <c r="K479" s="1">
        <f t="shared" si="77"/>
        <v>1578.4199119611155</v>
      </c>
      <c r="L479" s="1">
        <f t="shared" si="78"/>
        <v>473.52597358833469</v>
      </c>
      <c r="M479" s="4">
        <f t="shared" si="71"/>
        <v>3060000000</v>
      </c>
      <c r="N479" s="4"/>
      <c r="O479" s="8"/>
      <c r="P479">
        <v>478</v>
      </c>
      <c r="Q479" s="1">
        <v>858755100000000</v>
      </c>
      <c r="R479" s="4">
        <v>3060000000</v>
      </c>
      <c r="S479">
        <f>ROUND(1.02^A479,2)</f>
        <v>12908.69</v>
      </c>
      <c r="T479" t="str">
        <f t="shared" si="70"/>
        <v>478,858755100000000,3060000000,12908,69</v>
      </c>
    </row>
    <row r="480" spans="1:20" x14ac:dyDescent="0.25">
      <c r="A480">
        <f t="shared" si="79"/>
        <v>479</v>
      </c>
      <c r="B480" s="1">
        <v>864867700000000</v>
      </c>
      <c r="C480" s="1">
        <v>6112600000000</v>
      </c>
      <c r="E480" s="1">
        <f>+S480*10000</f>
        <v>131668600</v>
      </c>
      <c r="F480" s="1">
        <f t="shared" si="72"/>
        <v>46588.936162456346</v>
      </c>
      <c r="G480" s="1">
        <f t="shared" si="73"/>
        <v>23294.468081228173</v>
      </c>
      <c r="H480" s="1">
        <f t="shared" si="74"/>
        <v>9317.7872324912696</v>
      </c>
      <c r="I480" s="1">
        <f t="shared" si="75"/>
        <v>4658.8936162456348</v>
      </c>
      <c r="J480" s="1">
        <f t="shared" si="76"/>
        <v>3105.92907749709</v>
      </c>
      <c r="K480" s="1">
        <f t="shared" si="77"/>
        <v>1552.964538748545</v>
      </c>
      <c r="L480" s="1">
        <f t="shared" si="78"/>
        <v>465.88936162456349</v>
      </c>
      <c r="M480" s="4">
        <f t="shared" si="71"/>
        <v>3070000000</v>
      </c>
      <c r="N480" s="4"/>
      <c r="O480" s="8"/>
      <c r="P480">
        <v>479</v>
      </c>
      <c r="Q480" s="1">
        <v>864867700000000</v>
      </c>
      <c r="R480" s="4">
        <v>3070000000</v>
      </c>
      <c r="S480">
        <f>ROUND(1.02^A480,2)</f>
        <v>13166.86</v>
      </c>
      <c r="T480" t="str">
        <f t="shared" si="70"/>
        <v>479,864867700000000,3070000000,13166,86</v>
      </c>
    </row>
    <row r="481" spans="1:20" x14ac:dyDescent="0.25">
      <c r="A481">
        <f t="shared" si="79"/>
        <v>480</v>
      </c>
      <c r="B481" s="1">
        <v>871002000000000</v>
      </c>
      <c r="C481" s="1">
        <v>6134300000000</v>
      </c>
      <c r="E481" s="1">
        <f>+S481*10000</f>
        <v>134302000</v>
      </c>
      <c r="F481" s="1">
        <f t="shared" si="72"/>
        <v>45836.994236869148</v>
      </c>
      <c r="G481" s="1">
        <f t="shared" si="73"/>
        <v>22918.497118434574</v>
      </c>
      <c r="H481" s="1">
        <f t="shared" si="74"/>
        <v>9167.39884737383</v>
      </c>
      <c r="I481" s="1">
        <f t="shared" si="75"/>
        <v>4583.699423686915</v>
      </c>
      <c r="J481" s="1">
        <f t="shared" si="76"/>
        <v>3055.7996157912762</v>
      </c>
      <c r="K481" s="1">
        <f t="shared" si="77"/>
        <v>1527.8998078956381</v>
      </c>
      <c r="L481" s="1">
        <f t="shared" si="78"/>
        <v>458.36994236869145</v>
      </c>
      <c r="M481" s="4">
        <f t="shared" si="71"/>
        <v>3080000000</v>
      </c>
      <c r="N481" s="4"/>
      <c r="O481" s="8"/>
      <c r="P481">
        <v>480</v>
      </c>
      <c r="Q481" s="1">
        <v>871002000000000</v>
      </c>
      <c r="R481" s="4">
        <v>3080000000</v>
      </c>
      <c r="S481">
        <f>ROUND(1.02^A481,2)</f>
        <v>13430.2</v>
      </c>
      <c r="T481" t="str">
        <f t="shared" si="70"/>
        <v>480,871002000000000,3080000000,13430,2</v>
      </c>
    </row>
    <row r="482" spans="1:20" x14ac:dyDescent="0.25">
      <c r="A482">
        <f t="shared" si="79"/>
        <v>481</v>
      </c>
      <c r="B482" s="1">
        <v>877158000000000</v>
      </c>
      <c r="C482" s="1">
        <v>6156000000000</v>
      </c>
      <c r="E482" s="1">
        <f>+S482*10000</f>
        <v>136988000</v>
      </c>
      <c r="F482" s="1">
        <f t="shared" si="72"/>
        <v>45096.650801530064</v>
      </c>
      <c r="G482" s="1">
        <f t="shared" si="73"/>
        <v>22548.325400765032</v>
      </c>
      <c r="H482" s="1">
        <f t="shared" si="74"/>
        <v>9019.3301603060117</v>
      </c>
      <c r="I482" s="1">
        <f t="shared" si="75"/>
        <v>4509.6650801530059</v>
      </c>
      <c r="J482" s="1">
        <f t="shared" si="76"/>
        <v>3006.4433867686707</v>
      </c>
      <c r="K482" s="1">
        <f t="shared" si="77"/>
        <v>1503.2216933843354</v>
      </c>
      <c r="L482" s="1">
        <f t="shared" si="78"/>
        <v>450.96650801530063</v>
      </c>
      <c r="M482" s="4">
        <f t="shared" si="71"/>
        <v>3090000000</v>
      </c>
      <c r="N482" s="4"/>
      <c r="O482" s="8"/>
      <c r="P482">
        <v>481</v>
      </c>
      <c r="Q482" s="1">
        <v>877158000000000</v>
      </c>
      <c r="R482" s="4">
        <v>3090000000</v>
      </c>
      <c r="S482">
        <f>ROUND(1.02^A482,2)</f>
        <v>13698.8</v>
      </c>
      <c r="T482" t="str">
        <f t="shared" si="70"/>
        <v>481,877158000000000,3090000000,13698,8</v>
      </c>
    </row>
    <row r="483" spans="1:20" x14ac:dyDescent="0.25">
      <c r="A483">
        <f t="shared" si="79"/>
        <v>482</v>
      </c>
      <c r="B483" s="1">
        <v>883335700000000</v>
      </c>
      <c r="C483" s="1">
        <v>6177700000000</v>
      </c>
      <c r="E483" s="1">
        <f>+S483*10000</f>
        <v>139727800</v>
      </c>
      <c r="F483" s="1">
        <f t="shared" si="72"/>
        <v>44367.692041240181</v>
      </c>
      <c r="G483" s="1">
        <f t="shared" si="73"/>
        <v>22183.846020620091</v>
      </c>
      <c r="H483" s="1">
        <f t="shared" si="74"/>
        <v>8873.5384082480359</v>
      </c>
      <c r="I483" s="1">
        <f t="shared" si="75"/>
        <v>4436.769204124018</v>
      </c>
      <c r="J483" s="1">
        <f t="shared" si="76"/>
        <v>2957.8461360826786</v>
      </c>
      <c r="K483" s="1">
        <f t="shared" si="77"/>
        <v>1478.9230680413393</v>
      </c>
      <c r="L483" s="1">
        <f t="shared" si="78"/>
        <v>443.67692041240184</v>
      </c>
      <c r="M483" s="4">
        <f t="shared" si="71"/>
        <v>3100000000</v>
      </c>
      <c r="N483" s="4"/>
      <c r="O483" s="8"/>
      <c r="P483">
        <v>482</v>
      </c>
      <c r="Q483" s="1">
        <v>883335700000000</v>
      </c>
      <c r="R483" s="4">
        <v>3100000000</v>
      </c>
      <c r="S483">
        <f>ROUND(1.02^A483,2)</f>
        <v>13972.78</v>
      </c>
      <c r="T483" t="str">
        <f t="shared" si="70"/>
        <v>482,883335700000000,3100000000,13972,78</v>
      </c>
    </row>
    <row r="484" spans="1:20" x14ac:dyDescent="0.25">
      <c r="A484">
        <f t="shared" si="79"/>
        <v>483</v>
      </c>
      <c r="B484" s="1">
        <v>889535100000000</v>
      </c>
      <c r="C484" s="1">
        <v>6199400000000</v>
      </c>
      <c r="E484" s="1">
        <f>+S484*10000</f>
        <v>142522300</v>
      </c>
      <c r="F484" s="1">
        <f t="shared" si="72"/>
        <v>43650.011261395586</v>
      </c>
      <c r="G484" s="1">
        <f t="shared" si="73"/>
        <v>21825.005630697793</v>
      </c>
      <c r="H484" s="1">
        <f t="shared" si="74"/>
        <v>8730.0022522791169</v>
      </c>
      <c r="I484" s="1">
        <f t="shared" si="75"/>
        <v>4365.0011261395584</v>
      </c>
      <c r="J484" s="1">
        <f t="shared" si="76"/>
        <v>2910.0007507597056</v>
      </c>
      <c r="K484" s="1">
        <f t="shared" si="77"/>
        <v>1455.0003753798528</v>
      </c>
      <c r="L484" s="1">
        <f t="shared" si="78"/>
        <v>436.50011261395588</v>
      </c>
      <c r="M484" s="4">
        <f t="shared" si="71"/>
        <v>3110000000</v>
      </c>
      <c r="N484" s="4"/>
      <c r="O484" s="8"/>
      <c r="P484">
        <v>483</v>
      </c>
      <c r="Q484" s="1">
        <v>889535100000000</v>
      </c>
      <c r="R484" s="4">
        <v>3110000000</v>
      </c>
      <c r="S484">
        <f>ROUND(1.02^A484,2)</f>
        <v>14252.23</v>
      </c>
      <c r="T484" t="str">
        <f t="shared" si="70"/>
        <v>483,889535100000000,3110000000,14252,23</v>
      </c>
    </row>
    <row r="485" spans="1:20" x14ac:dyDescent="0.25">
      <c r="A485">
        <f t="shared" si="79"/>
        <v>484</v>
      </c>
      <c r="B485" s="1">
        <v>895756200000000</v>
      </c>
      <c r="C485" s="1">
        <v>6221100000000</v>
      </c>
      <c r="E485" s="1">
        <f>+S485*10000</f>
        <v>145372800</v>
      </c>
      <c r="F485" s="1">
        <f t="shared" si="72"/>
        <v>42943.384181910231</v>
      </c>
      <c r="G485" s="1">
        <f t="shared" si="73"/>
        <v>21471.692090955115</v>
      </c>
      <c r="H485" s="1">
        <f t="shared" si="74"/>
        <v>8588.6768363820465</v>
      </c>
      <c r="I485" s="1">
        <f t="shared" si="75"/>
        <v>4294.3384181910233</v>
      </c>
      <c r="J485" s="1">
        <f t="shared" si="76"/>
        <v>2862.8922787940155</v>
      </c>
      <c r="K485" s="1">
        <f t="shared" si="77"/>
        <v>1431.4461393970078</v>
      </c>
      <c r="L485" s="1">
        <f t="shared" si="78"/>
        <v>429.43384181910233</v>
      </c>
      <c r="M485" s="4">
        <f t="shared" si="71"/>
        <v>3120000000</v>
      </c>
      <c r="N485" s="4"/>
      <c r="O485" s="8"/>
      <c r="P485">
        <v>484</v>
      </c>
      <c r="Q485" s="1">
        <v>895756200000000</v>
      </c>
      <c r="R485" s="4">
        <v>3120000000</v>
      </c>
      <c r="S485">
        <f>ROUND(1.02^A485,2)</f>
        <v>14537.28</v>
      </c>
      <c r="T485" t="str">
        <f t="shared" si="70"/>
        <v>484,895756200000000,3120000000,14537,28</v>
      </c>
    </row>
    <row r="486" spans="1:20" x14ac:dyDescent="0.25">
      <c r="A486">
        <f t="shared" si="79"/>
        <v>485</v>
      </c>
      <c r="B486" s="1">
        <v>901999000000000</v>
      </c>
      <c r="C486" s="1">
        <v>6242800000000</v>
      </c>
      <c r="E486" s="1">
        <f>+S486*10000</f>
        <v>148280200</v>
      </c>
      <c r="F486" s="1">
        <f t="shared" si="72"/>
        <v>42247.717497009042</v>
      </c>
      <c r="G486" s="1">
        <f t="shared" si="73"/>
        <v>21123.858748504521</v>
      </c>
      <c r="H486" s="1">
        <f t="shared" si="74"/>
        <v>8449.5434994018087</v>
      </c>
      <c r="I486" s="1">
        <f t="shared" si="75"/>
        <v>4224.7717497009044</v>
      </c>
      <c r="J486" s="1">
        <f t="shared" si="76"/>
        <v>2816.5144998006026</v>
      </c>
      <c r="K486" s="1">
        <f t="shared" si="77"/>
        <v>1408.2572499003013</v>
      </c>
      <c r="L486" s="1">
        <f t="shared" si="78"/>
        <v>422.4771749700904</v>
      </c>
      <c r="M486" s="4">
        <f t="shared" si="71"/>
        <v>3130000000</v>
      </c>
      <c r="N486" s="4"/>
      <c r="O486" s="8"/>
      <c r="P486">
        <v>485</v>
      </c>
      <c r="Q486" s="1">
        <v>901999000000000</v>
      </c>
      <c r="R486" s="4">
        <v>3130000000</v>
      </c>
      <c r="S486">
        <f>ROUND(1.02^A486,2)</f>
        <v>14828.02</v>
      </c>
      <c r="T486" t="str">
        <f t="shared" si="70"/>
        <v>485,901999000000000,3130000000,14828,02</v>
      </c>
    </row>
    <row r="487" spans="1:20" x14ac:dyDescent="0.25">
      <c r="A487">
        <f t="shared" si="79"/>
        <v>486</v>
      </c>
      <c r="B487" s="1">
        <v>908263500000000</v>
      </c>
      <c r="C487" s="1">
        <v>6264500000000</v>
      </c>
      <c r="E487" s="1">
        <f>+S487*10000</f>
        <v>151245900</v>
      </c>
      <c r="F487" s="1">
        <f t="shared" si="72"/>
        <v>41562.779553032509</v>
      </c>
      <c r="G487" s="1">
        <f t="shared" si="73"/>
        <v>20781.389776516255</v>
      </c>
      <c r="H487" s="1">
        <f t="shared" si="74"/>
        <v>8312.5559106065029</v>
      </c>
      <c r="I487" s="1">
        <f t="shared" si="75"/>
        <v>4156.2779553032515</v>
      </c>
      <c r="J487" s="1">
        <f t="shared" si="76"/>
        <v>2770.8519702021676</v>
      </c>
      <c r="K487" s="1">
        <f t="shared" si="77"/>
        <v>1385.4259851010838</v>
      </c>
      <c r="L487" s="1">
        <f t="shared" si="78"/>
        <v>415.6277955303251</v>
      </c>
      <c r="M487" s="4">
        <f t="shared" si="71"/>
        <v>3140000000</v>
      </c>
      <c r="N487" s="4"/>
      <c r="O487" s="8"/>
      <c r="P487">
        <v>486</v>
      </c>
      <c r="Q487" s="1">
        <v>908263500000000</v>
      </c>
      <c r="R487" s="4">
        <v>3140000000</v>
      </c>
      <c r="S487">
        <f>ROUND(1.02^A487,2)</f>
        <v>15124.59</v>
      </c>
      <c r="T487" t="str">
        <f t="shared" si="70"/>
        <v>486,908263500000000,3140000000,15124,59</v>
      </c>
    </row>
    <row r="488" spans="1:20" x14ac:dyDescent="0.25">
      <c r="A488">
        <f t="shared" si="79"/>
        <v>487</v>
      </c>
      <c r="B488" s="1">
        <v>914549700000000</v>
      </c>
      <c r="C488" s="1">
        <v>6286200000000</v>
      </c>
      <c r="E488" s="1">
        <f>+S488*10000</f>
        <v>154270800</v>
      </c>
      <c r="F488" s="1">
        <f t="shared" si="72"/>
        <v>40888.489591030833</v>
      </c>
      <c r="G488" s="1">
        <f t="shared" si="73"/>
        <v>20444.244795515417</v>
      </c>
      <c r="H488" s="1">
        <f t="shared" si="74"/>
        <v>8177.6979182061677</v>
      </c>
      <c r="I488" s="1">
        <f t="shared" si="75"/>
        <v>4088.8489591030839</v>
      </c>
      <c r="J488" s="1">
        <f t="shared" si="76"/>
        <v>2725.8993060687226</v>
      </c>
      <c r="K488" s="1">
        <f t="shared" si="77"/>
        <v>1362.9496530343613</v>
      </c>
      <c r="L488" s="1">
        <f t="shared" si="78"/>
        <v>408.88489591030839</v>
      </c>
      <c r="M488" s="4">
        <f t="shared" si="71"/>
        <v>3150000000</v>
      </c>
      <c r="N488" s="4"/>
      <c r="O488" s="8"/>
      <c r="P488">
        <v>487</v>
      </c>
      <c r="Q488" s="1">
        <v>914549700000000</v>
      </c>
      <c r="R488" s="4">
        <v>3150000000</v>
      </c>
      <c r="S488">
        <f>ROUND(1.02^A488,2)</f>
        <v>15427.08</v>
      </c>
      <c r="T488" t="str">
        <f t="shared" si="70"/>
        <v>487,914549700000000,3150000000,15427,08</v>
      </c>
    </row>
    <row r="489" spans="1:20" x14ac:dyDescent="0.25">
      <c r="A489">
        <f t="shared" si="79"/>
        <v>488</v>
      </c>
      <c r="B489" s="1">
        <v>920857600000000</v>
      </c>
      <c r="C489" s="1">
        <v>6307900000000</v>
      </c>
      <c r="E489" s="1">
        <f>+S489*10000</f>
        <v>157356200</v>
      </c>
      <c r="F489" s="1">
        <f t="shared" si="72"/>
        <v>40224.662263069396</v>
      </c>
      <c r="G489" s="1">
        <f t="shared" si="73"/>
        <v>20112.331131534698</v>
      </c>
      <c r="H489" s="1">
        <f t="shared" si="74"/>
        <v>8044.9324526138789</v>
      </c>
      <c r="I489" s="1">
        <f t="shared" si="75"/>
        <v>4022.4662263069395</v>
      </c>
      <c r="J489" s="1">
        <f t="shared" si="76"/>
        <v>2681.6441508712928</v>
      </c>
      <c r="K489" s="1">
        <f t="shared" si="77"/>
        <v>1340.8220754356464</v>
      </c>
      <c r="L489" s="1">
        <f t="shared" si="78"/>
        <v>402.24662263069393</v>
      </c>
      <c r="M489" s="4">
        <f t="shared" si="71"/>
        <v>3160000000</v>
      </c>
      <c r="N489" s="4"/>
      <c r="O489" s="8"/>
      <c r="P489">
        <v>488</v>
      </c>
      <c r="Q489" s="1">
        <v>920857600000000</v>
      </c>
      <c r="R489" s="4">
        <v>3160000000</v>
      </c>
      <c r="S489">
        <f>ROUND(1.02^A489,2)</f>
        <v>15735.62</v>
      </c>
      <c r="T489" t="str">
        <f t="shared" si="70"/>
        <v>488,920857600000000,3160000000,15735,62</v>
      </c>
    </row>
    <row r="490" spans="1:20" x14ac:dyDescent="0.25">
      <c r="A490">
        <f t="shared" si="79"/>
        <v>489</v>
      </c>
      <c r="B490" s="1">
        <v>927187200000000</v>
      </c>
      <c r="C490" s="1">
        <v>6329600000000</v>
      </c>
      <c r="E490" s="1">
        <f>+S490*10000</f>
        <v>160503300</v>
      </c>
      <c r="F490" s="1">
        <f t="shared" si="72"/>
        <v>39571.149004412997</v>
      </c>
      <c r="G490" s="1">
        <f t="shared" si="73"/>
        <v>19785.574502206498</v>
      </c>
      <c r="H490" s="1">
        <f t="shared" si="74"/>
        <v>7914.2298008825983</v>
      </c>
      <c r="I490" s="1">
        <f t="shared" si="75"/>
        <v>3957.1149004412991</v>
      </c>
      <c r="J490" s="1">
        <f t="shared" si="76"/>
        <v>2638.0766002941996</v>
      </c>
      <c r="K490" s="1">
        <f t="shared" si="77"/>
        <v>1319.0383001470998</v>
      </c>
      <c r="L490" s="1">
        <f t="shared" si="78"/>
        <v>395.71149004412996</v>
      </c>
      <c r="M490" s="4">
        <f t="shared" si="71"/>
        <v>3180000000</v>
      </c>
      <c r="N490" s="4"/>
      <c r="O490" s="8"/>
      <c r="P490">
        <v>489</v>
      </c>
      <c r="Q490" s="1">
        <v>927187200000000</v>
      </c>
      <c r="R490" s="4">
        <v>3180000000</v>
      </c>
      <c r="S490">
        <f>ROUND(1.02^A490,2)</f>
        <v>16050.33</v>
      </c>
      <c r="T490" t="str">
        <f t="shared" si="70"/>
        <v>489,927187200000000,3180000000,16050,33</v>
      </c>
    </row>
    <row r="491" spans="1:20" x14ac:dyDescent="0.25">
      <c r="A491">
        <f t="shared" si="79"/>
        <v>490</v>
      </c>
      <c r="B491" s="1">
        <v>933538500000000</v>
      </c>
      <c r="C491" s="1">
        <v>6351300000000</v>
      </c>
      <c r="E491" s="1">
        <f>+S491*10000</f>
        <v>163713400</v>
      </c>
      <c r="F491" s="1">
        <f t="shared" si="72"/>
        <v>38927.784775100874</v>
      </c>
      <c r="G491" s="1">
        <f t="shared" si="73"/>
        <v>19463.892387550437</v>
      </c>
      <c r="H491" s="1">
        <f t="shared" si="74"/>
        <v>7785.5569550201753</v>
      </c>
      <c r="I491" s="1">
        <f t="shared" si="75"/>
        <v>3892.7784775100877</v>
      </c>
      <c r="J491" s="1">
        <f t="shared" si="76"/>
        <v>2595.1856516733919</v>
      </c>
      <c r="K491" s="1">
        <f t="shared" si="77"/>
        <v>1297.592825836696</v>
      </c>
      <c r="L491" s="1">
        <f t="shared" si="78"/>
        <v>389.27784775100878</v>
      </c>
      <c r="M491" s="4">
        <f t="shared" si="71"/>
        <v>3190000000</v>
      </c>
      <c r="N491" s="4"/>
      <c r="O491" s="8"/>
      <c r="P491">
        <v>490</v>
      </c>
      <c r="Q491" s="1">
        <v>933538500000000</v>
      </c>
      <c r="R491" s="4">
        <v>3190000000</v>
      </c>
      <c r="S491">
        <f>ROUND(1.02^A491,2)</f>
        <v>16371.34</v>
      </c>
      <c r="T491" t="str">
        <f t="shared" si="70"/>
        <v>490,933538500000000,3190000000,16371,34</v>
      </c>
    </row>
    <row r="492" spans="1:20" x14ac:dyDescent="0.25">
      <c r="A492">
        <f t="shared" si="79"/>
        <v>491</v>
      </c>
      <c r="B492" s="1">
        <v>939911500000000</v>
      </c>
      <c r="C492" s="1">
        <v>6373000000000</v>
      </c>
      <c r="E492" s="1">
        <f>+S492*10000</f>
        <v>166987599.99999997</v>
      </c>
      <c r="F492" s="1">
        <f t="shared" si="72"/>
        <v>38294.460187463032</v>
      </c>
      <c r="G492" s="1">
        <f t="shared" si="73"/>
        <v>19147.230093731516</v>
      </c>
      <c r="H492" s="1">
        <f t="shared" si="74"/>
        <v>7658.8920374926056</v>
      </c>
      <c r="I492" s="1">
        <f t="shared" si="75"/>
        <v>3829.4460187463028</v>
      </c>
      <c r="J492" s="1">
        <f t="shared" si="76"/>
        <v>2552.9640124975354</v>
      </c>
      <c r="K492" s="1">
        <f t="shared" si="77"/>
        <v>1276.4820062487677</v>
      </c>
      <c r="L492" s="1">
        <f t="shared" si="78"/>
        <v>382.94460187463028</v>
      </c>
      <c r="M492" s="4">
        <f t="shared" si="71"/>
        <v>3200000000</v>
      </c>
      <c r="N492" s="4"/>
      <c r="O492" s="8"/>
      <c r="P492">
        <v>491</v>
      </c>
      <c r="Q492" s="1">
        <v>939911500000000</v>
      </c>
      <c r="R492" s="4">
        <v>3200000000</v>
      </c>
      <c r="S492">
        <f>ROUND(1.02^A492,2)</f>
        <v>16698.759999999998</v>
      </c>
      <c r="T492" t="str">
        <f t="shared" si="70"/>
        <v>491,939911500000000,3200000000,16698,76</v>
      </c>
    </row>
    <row r="493" spans="1:20" x14ac:dyDescent="0.25">
      <c r="A493">
        <f t="shared" si="79"/>
        <v>492</v>
      </c>
      <c r="B493" s="1">
        <v>946306200000000</v>
      </c>
      <c r="C493" s="1">
        <v>6394700000000</v>
      </c>
      <c r="E493" s="1">
        <f>+S493*10000</f>
        <v>170327400.00000003</v>
      </c>
      <c r="F493" s="1">
        <f t="shared" si="72"/>
        <v>37670.979537056272</v>
      </c>
      <c r="G493" s="1">
        <f t="shared" si="73"/>
        <v>18835.489768528136</v>
      </c>
      <c r="H493" s="1">
        <f t="shared" si="74"/>
        <v>7534.1959074112556</v>
      </c>
      <c r="I493" s="1">
        <f t="shared" si="75"/>
        <v>3767.0979537056278</v>
      </c>
      <c r="J493" s="1">
        <f t="shared" si="76"/>
        <v>2511.3986358037514</v>
      </c>
      <c r="K493" s="1">
        <f t="shared" si="77"/>
        <v>1255.6993179018757</v>
      </c>
      <c r="L493" s="1">
        <f t="shared" si="78"/>
        <v>376.70979537056274</v>
      </c>
      <c r="M493" s="4">
        <f t="shared" si="71"/>
        <v>3210000000</v>
      </c>
      <c r="N493" s="4"/>
      <c r="O493" s="8"/>
      <c r="P493">
        <v>492</v>
      </c>
      <c r="Q493" s="1">
        <v>946306200000000</v>
      </c>
      <c r="R493" s="4">
        <v>3210000000</v>
      </c>
      <c r="S493">
        <f>ROUND(1.02^A493,2)</f>
        <v>17032.740000000002</v>
      </c>
      <c r="T493" t="str">
        <f t="shared" si="70"/>
        <v>492,946306200000000,3210000000,17032,74</v>
      </c>
    </row>
    <row r="494" spans="1:20" x14ac:dyDescent="0.25">
      <c r="A494">
        <f t="shared" si="79"/>
        <v>493</v>
      </c>
      <c r="B494" s="1">
        <v>952722600000000</v>
      </c>
      <c r="C494" s="1">
        <v>6416400000000</v>
      </c>
      <c r="E494" s="1">
        <f>+S494*10000</f>
        <v>173733900</v>
      </c>
      <c r="F494" s="1">
        <f t="shared" si="72"/>
        <v>37057.246743439246</v>
      </c>
      <c r="G494" s="1">
        <f t="shared" si="73"/>
        <v>18528.623371719623</v>
      </c>
      <c r="H494" s="1">
        <f t="shared" si="74"/>
        <v>7411.44934868785</v>
      </c>
      <c r="I494" s="1">
        <f t="shared" si="75"/>
        <v>3705.724674343925</v>
      </c>
      <c r="J494" s="1">
        <f t="shared" si="76"/>
        <v>2470.483116229283</v>
      </c>
      <c r="K494" s="1">
        <f t="shared" si="77"/>
        <v>1235.2415581146415</v>
      </c>
      <c r="L494" s="1">
        <f t="shared" si="78"/>
        <v>370.57246743439248</v>
      </c>
      <c r="M494" s="4">
        <f t="shared" si="71"/>
        <v>3220000000</v>
      </c>
      <c r="N494" s="4"/>
      <c r="O494" s="8"/>
      <c r="P494">
        <v>493</v>
      </c>
      <c r="Q494" s="1">
        <v>952722600000000</v>
      </c>
      <c r="R494" s="4">
        <v>3220000000</v>
      </c>
      <c r="S494">
        <f>ROUND(1.02^A494,2)</f>
        <v>17373.39</v>
      </c>
      <c r="T494" t="str">
        <f t="shared" si="70"/>
        <v>493,952722600000000,3220000000,17373,39</v>
      </c>
    </row>
    <row r="495" spans="1:20" x14ac:dyDescent="0.25">
      <c r="A495">
        <f t="shared" si="79"/>
        <v>494</v>
      </c>
      <c r="B495" s="1">
        <v>959160700000000</v>
      </c>
      <c r="C495" s="1">
        <v>6438100000000</v>
      </c>
      <c r="E495" s="1">
        <f>+S495*10000</f>
        <v>177208600</v>
      </c>
      <c r="F495" s="1">
        <f t="shared" si="72"/>
        <v>36453.08410539895</v>
      </c>
      <c r="G495" s="1">
        <f t="shared" si="73"/>
        <v>18226.542052699475</v>
      </c>
      <c r="H495" s="1">
        <f t="shared" si="74"/>
        <v>7290.6168210797896</v>
      </c>
      <c r="I495" s="1">
        <f t="shared" si="75"/>
        <v>3645.3084105398948</v>
      </c>
      <c r="J495" s="1">
        <f t="shared" si="76"/>
        <v>2430.2056070265967</v>
      </c>
      <c r="K495" s="1">
        <f t="shared" si="77"/>
        <v>1215.1028035132983</v>
      </c>
      <c r="L495" s="1">
        <f t="shared" si="78"/>
        <v>364.53084105398949</v>
      </c>
      <c r="M495" s="4">
        <f t="shared" si="71"/>
        <v>3230000000</v>
      </c>
      <c r="N495" s="4"/>
      <c r="O495" s="8"/>
      <c r="P495">
        <v>494</v>
      </c>
      <c r="Q495" s="1">
        <v>959160700000000</v>
      </c>
      <c r="R495" s="4">
        <v>3230000000</v>
      </c>
      <c r="S495">
        <f>ROUND(1.02^A495,2)</f>
        <v>17720.86</v>
      </c>
      <c r="T495" t="str">
        <f t="shared" si="70"/>
        <v>494,959160700000000,3230000000,17720,86</v>
      </c>
    </row>
    <row r="496" spans="1:20" x14ac:dyDescent="0.25">
      <c r="A496">
        <f t="shared" si="79"/>
        <v>495</v>
      </c>
      <c r="B496" s="1">
        <v>965620500000000</v>
      </c>
      <c r="C496" s="1">
        <v>6459800000000</v>
      </c>
      <c r="E496" s="1">
        <f>+S496*10000</f>
        <v>180752800</v>
      </c>
      <c r="F496" s="1">
        <f t="shared" si="72"/>
        <v>35858.365679535811</v>
      </c>
      <c r="G496" s="1">
        <f t="shared" si="73"/>
        <v>17929.182839767906</v>
      </c>
      <c r="H496" s="1">
        <f t="shared" si="74"/>
        <v>7171.6731359071618</v>
      </c>
      <c r="I496" s="1">
        <f t="shared" si="75"/>
        <v>3585.8365679535809</v>
      </c>
      <c r="J496" s="1">
        <f t="shared" si="76"/>
        <v>2390.5577119690538</v>
      </c>
      <c r="K496" s="1">
        <f t="shared" si="77"/>
        <v>1195.2788559845269</v>
      </c>
      <c r="L496" s="1">
        <f t="shared" si="78"/>
        <v>358.58365679535808</v>
      </c>
      <c r="M496" s="4">
        <f t="shared" si="71"/>
        <v>3240000000</v>
      </c>
      <c r="N496" s="4"/>
      <c r="O496" s="8"/>
      <c r="P496">
        <v>495</v>
      </c>
      <c r="Q496" s="1">
        <v>965620500000000</v>
      </c>
      <c r="R496" s="4">
        <v>3240000000</v>
      </c>
      <c r="S496">
        <f>ROUND(1.02^A496,2)</f>
        <v>18075.28</v>
      </c>
      <c r="T496" t="str">
        <f t="shared" si="70"/>
        <v>495,965620500000000,3240000000,18075,28</v>
      </c>
    </row>
    <row r="497" spans="1:20" x14ac:dyDescent="0.25">
      <c r="A497">
        <f t="shared" si="79"/>
        <v>496</v>
      </c>
      <c r="B497" s="1">
        <v>972102000000000</v>
      </c>
      <c r="C497" s="1">
        <v>6481500000000</v>
      </c>
      <c r="E497" s="1">
        <f>+S497*10000</f>
        <v>184367900</v>
      </c>
      <c r="F497" s="1">
        <f t="shared" si="72"/>
        <v>35272.951527896126</v>
      </c>
      <c r="G497" s="1">
        <f t="shared" si="73"/>
        <v>17636.475763948063</v>
      </c>
      <c r="H497" s="1">
        <f t="shared" si="74"/>
        <v>7054.5903055792251</v>
      </c>
      <c r="I497" s="1">
        <f t="shared" si="75"/>
        <v>3527.2951527896125</v>
      </c>
      <c r="J497" s="1">
        <f t="shared" si="76"/>
        <v>2351.5301018597415</v>
      </c>
      <c r="K497" s="1">
        <f t="shared" si="77"/>
        <v>1175.7650509298708</v>
      </c>
      <c r="L497" s="1">
        <f t="shared" si="78"/>
        <v>352.72951527896123</v>
      </c>
      <c r="M497" s="4">
        <f t="shared" si="71"/>
        <v>3250000000</v>
      </c>
      <c r="N497" s="4"/>
      <c r="O497" s="8"/>
      <c r="P497">
        <v>496</v>
      </c>
      <c r="Q497" s="1">
        <v>972102000000000</v>
      </c>
      <c r="R497" s="4">
        <v>3250000000</v>
      </c>
      <c r="S497">
        <f>ROUND(1.02^A497,2)</f>
        <v>18436.79</v>
      </c>
      <c r="T497" t="str">
        <f t="shared" si="70"/>
        <v>496,972102000000000,3250000000,18436,79</v>
      </c>
    </row>
    <row r="498" spans="1:20" x14ac:dyDescent="0.25">
      <c r="A498">
        <f t="shared" si="79"/>
        <v>497</v>
      </c>
      <c r="B498" s="1">
        <v>978605200000000</v>
      </c>
      <c r="C498" s="1">
        <v>6503200000000</v>
      </c>
      <c r="E498" s="1">
        <f>+S498*10000</f>
        <v>188055200</v>
      </c>
      <c r="F498" s="1">
        <f t="shared" si="72"/>
        <v>34696.727343886261</v>
      </c>
      <c r="G498" s="1">
        <f t="shared" si="73"/>
        <v>17348.363671943131</v>
      </c>
      <c r="H498" s="1">
        <f t="shared" si="74"/>
        <v>6939.3454687772528</v>
      </c>
      <c r="I498" s="1">
        <f t="shared" si="75"/>
        <v>3469.6727343886264</v>
      </c>
      <c r="J498" s="1">
        <f t="shared" si="76"/>
        <v>2313.1151562590844</v>
      </c>
      <c r="K498" s="1">
        <f t="shared" si="77"/>
        <v>1156.5575781295422</v>
      </c>
      <c r="L498" s="1">
        <f t="shared" si="78"/>
        <v>346.96727343886261</v>
      </c>
      <c r="M498" s="4">
        <f t="shared" si="71"/>
        <v>3260000000</v>
      </c>
      <c r="N498" s="4"/>
      <c r="O498" s="8"/>
      <c r="P498">
        <v>497</v>
      </c>
      <c r="Q498" s="1">
        <v>978605200000000</v>
      </c>
      <c r="R498" s="4">
        <v>3260000000</v>
      </c>
      <c r="S498">
        <f>ROUND(1.02^A498,2)</f>
        <v>18805.52</v>
      </c>
      <c r="T498" t="str">
        <f t="shared" si="70"/>
        <v>497,978605200000000,3260000000,18805,52</v>
      </c>
    </row>
    <row r="499" spans="1:20" x14ac:dyDescent="0.25">
      <c r="A499">
        <f t="shared" si="79"/>
        <v>498</v>
      </c>
      <c r="B499" s="1">
        <v>985130100000000</v>
      </c>
      <c r="C499" s="1">
        <v>6524900000000</v>
      </c>
      <c r="E499" s="1">
        <f>+S499*10000</f>
        <v>191816300</v>
      </c>
      <c r="F499" s="1">
        <f t="shared" si="72"/>
        <v>34129.529138034675</v>
      </c>
      <c r="G499" s="1">
        <f t="shared" si="73"/>
        <v>17064.764569017338</v>
      </c>
      <c r="H499" s="1">
        <f t="shared" si="74"/>
        <v>6825.9058276069345</v>
      </c>
      <c r="I499" s="1">
        <f t="shared" si="75"/>
        <v>3412.9529138034673</v>
      </c>
      <c r="J499" s="1">
        <f t="shared" si="76"/>
        <v>2275.3019425356447</v>
      </c>
      <c r="K499" s="1">
        <f t="shared" si="77"/>
        <v>1137.6509712678223</v>
      </c>
      <c r="L499" s="1">
        <f t="shared" si="78"/>
        <v>341.29529138034673</v>
      </c>
      <c r="M499" s="4">
        <f t="shared" si="71"/>
        <v>3270000000</v>
      </c>
      <c r="N499" s="4"/>
      <c r="O499" s="8"/>
      <c r="P499">
        <v>498</v>
      </c>
      <c r="Q499" s="1">
        <v>985130100000000</v>
      </c>
      <c r="R499" s="4">
        <v>3270000000</v>
      </c>
      <c r="S499">
        <f>ROUND(1.02^A499,2)</f>
        <v>19181.63</v>
      </c>
      <c r="T499" t="str">
        <f t="shared" si="70"/>
        <v>498,985130100000000,3270000000,19181,63</v>
      </c>
    </row>
    <row r="500" spans="1:20" x14ac:dyDescent="0.25">
      <c r="A500">
        <f t="shared" si="79"/>
        <v>499</v>
      </c>
      <c r="B500" s="1">
        <v>991676700000000</v>
      </c>
      <c r="C500" s="1">
        <v>6546600000000</v>
      </c>
      <c r="E500" s="1">
        <f>+S500*10000</f>
        <v>195652599.99999997</v>
      </c>
      <c r="F500" s="1">
        <f t="shared" si="72"/>
        <v>42541.218465790902</v>
      </c>
      <c r="G500" s="1">
        <f t="shared" si="73"/>
        <v>21270.609232895451</v>
      </c>
      <c r="H500" s="1">
        <f t="shared" si="74"/>
        <v>8508.2436931581797</v>
      </c>
      <c r="I500" s="1">
        <f t="shared" si="75"/>
        <v>4254.1218465790898</v>
      </c>
      <c r="J500" s="1">
        <f t="shared" si="76"/>
        <v>2836.0812310527267</v>
      </c>
      <c r="K500" s="1">
        <f t="shared" si="77"/>
        <v>1418.0406155263634</v>
      </c>
      <c r="L500" s="1">
        <f t="shared" si="78"/>
        <v>425.41218465790905</v>
      </c>
      <c r="M500" s="4">
        <f t="shared" si="71"/>
        <v>4160000000</v>
      </c>
      <c r="N500" s="4"/>
      <c r="O500" s="8"/>
      <c r="P500">
        <v>499</v>
      </c>
      <c r="Q500" s="1">
        <v>991676700000000</v>
      </c>
      <c r="R500" s="4">
        <v>4160000000</v>
      </c>
      <c r="S500">
        <f>ROUND(1.02^A500,2)</f>
        <v>19565.259999999998</v>
      </c>
      <c r="T500" t="str">
        <f t="shared" si="70"/>
        <v>499,991676700000000,4160000000,19565,26</v>
      </c>
    </row>
    <row r="501" spans="1:20" x14ac:dyDescent="0.25">
      <c r="A501">
        <f t="shared" si="79"/>
        <v>500</v>
      </c>
      <c r="B501" s="1">
        <v>1000000000000000</v>
      </c>
      <c r="C501" s="1">
        <v>8323300000000</v>
      </c>
      <c r="E501" s="1">
        <f>+S501*10000</f>
        <v>199565700</v>
      </c>
      <c r="F501" s="1">
        <f t="shared" si="72"/>
        <v>0</v>
      </c>
      <c r="G501" s="1">
        <f t="shared" si="73"/>
        <v>0</v>
      </c>
      <c r="H501" s="1">
        <f t="shared" si="74"/>
        <v>0</v>
      </c>
      <c r="I501" s="1">
        <f t="shared" si="75"/>
        <v>0</v>
      </c>
      <c r="J501" s="1">
        <f t="shared" si="76"/>
        <v>0</v>
      </c>
      <c r="K501" s="1">
        <f t="shared" si="77"/>
        <v>0</v>
      </c>
      <c r="L501" s="1">
        <f t="shared" si="78"/>
        <v>0</v>
      </c>
      <c r="M501">
        <v>5000000000</v>
      </c>
      <c r="O501" s="7"/>
      <c r="P501">
        <v>500</v>
      </c>
      <c r="Q501" s="1">
        <v>1000000000000000</v>
      </c>
      <c r="R501">
        <v>5000000000</v>
      </c>
      <c r="S501">
        <f>ROUND(1.02^A501,2)</f>
        <v>19956.57</v>
      </c>
      <c r="T501" t="str">
        <f t="shared" si="70"/>
        <v>500,1000000000000000,5000000000,19956,57</v>
      </c>
    </row>
    <row r="502" spans="1:20" x14ac:dyDescent="0.25">
      <c r="S502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D6E02-B901-42D9-B850-94B5E739DC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Schenetti</dc:creator>
  <cp:lastModifiedBy>Matteo Schenetti</cp:lastModifiedBy>
  <dcterms:created xsi:type="dcterms:W3CDTF">2026-08-19T16:05:38Z</dcterms:created>
  <dcterms:modified xsi:type="dcterms:W3CDTF">2026-08-24T21:42:25Z</dcterms:modified>
</cp:coreProperties>
</file>