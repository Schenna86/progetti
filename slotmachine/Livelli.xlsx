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chenetti\Downloads\"/>
    </mc:Choice>
  </mc:AlternateContent>
  <xr:revisionPtr revIDLastSave="0" documentId="13_ncr:1_{E25BF4A9-E4E3-4F69-BD58-4077740BCB22}" xr6:coauthVersionLast="47" xr6:coauthVersionMax="47" xr10:uidLastSave="{00000000-0000-0000-0000-000000000000}"/>
  <bookViews>
    <workbookView xWindow="1905" yWindow="1905" windowWidth="24510" windowHeight="11190" xr2:uid="{2E90C9ED-128D-40D4-A824-1782E0FEBAD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2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F208" i="1"/>
  <c r="G208" i="1"/>
  <c r="H208" i="1"/>
  <c r="I208" i="1"/>
  <c r="J208" i="1"/>
  <c r="K208" i="1"/>
  <c r="L208" i="1"/>
  <c r="F209" i="1"/>
  <c r="G209" i="1"/>
  <c r="H209" i="1"/>
  <c r="I209" i="1"/>
  <c r="J209" i="1"/>
  <c r="K209" i="1"/>
  <c r="L209" i="1"/>
  <c r="F210" i="1"/>
  <c r="G210" i="1"/>
  <c r="H210" i="1"/>
  <c r="I210" i="1"/>
  <c r="J210" i="1"/>
  <c r="K210" i="1"/>
  <c r="L210" i="1"/>
  <c r="F211" i="1"/>
  <c r="G211" i="1"/>
  <c r="H211" i="1"/>
  <c r="I211" i="1"/>
  <c r="J211" i="1"/>
  <c r="K211" i="1"/>
  <c r="L211" i="1"/>
  <c r="F212" i="1"/>
  <c r="G212" i="1"/>
  <c r="H212" i="1"/>
  <c r="I212" i="1"/>
  <c r="J212" i="1"/>
  <c r="K212" i="1"/>
  <c r="L212" i="1"/>
  <c r="F213" i="1"/>
  <c r="G213" i="1"/>
  <c r="H213" i="1"/>
  <c r="I213" i="1"/>
  <c r="J213" i="1"/>
  <c r="K213" i="1"/>
  <c r="L213" i="1"/>
  <c r="F214" i="1"/>
  <c r="G214" i="1"/>
  <c r="H214" i="1"/>
  <c r="I214" i="1"/>
  <c r="J214" i="1"/>
  <c r="K214" i="1"/>
  <c r="L214" i="1"/>
  <c r="F215" i="1"/>
  <c r="G215" i="1"/>
  <c r="H215" i="1"/>
  <c r="I215" i="1"/>
  <c r="J215" i="1"/>
  <c r="K215" i="1"/>
  <c r="L215" i="1"/>
  <c r="F216" i="1"/>
  <c r="G216" i="1"/>
  <c r="H216" i="1"/>
  <c r="I216" i="1"/>
  <c r="J216" i="1"/>
  <c r="K216" i="1"/>
  <c r="L216" i="1"/>
  <c r="F217" i="1"/>
  <c r="G217" i="1"/>
  <c r="H217" i="1"/>
  <c r="I217" i="1"/>
  <c r="J217" i="1"/>
  <c r="K217" i="1"/>
  <c r="L217" i="1"/>
  <c r="F218" i="1"/>
  <c r="G218" i="1"/>
  <c r="H218" i="1"/>
  <c r="I218" i="1"/>
  <c r="J218" i="1"/>
  <c r="K218" i="1"/>
  <c r="L218" i="1"/>
  <c r="F219" i="1"/>
  <c r="G219" i="1"/>
  <c r="H219" i="1"/>
  <c r="I219" i="1"/>
  <c r="J219" i="1"/>
  <c r="K219" i="1"/>
  <c r="L219" i="1"/>
  <c r="F220" i="1"/>
  <c r="G220" i="1"/>
  <c r="H220" i="1"/>
  <c r="I220" i="1"/>
  <c r="J220" i="1"/>
  <c r="K220" i="1"/>
  <c r="L220" i="1"/>
  <c r="F221" i="1"/>
  <c r="G221" i="1"/>
  <c r="H221" i="1"/>
  <c r="I221" i="1"/>
  <c r="J221" i="1"/>
  <c r="K221" i="1"/>
  <c r="L221" i="1"/>
  <c r="F222" i="1"/>
  <c r="G222" i="1"/>
  <c r="H222" i="1"/>
  <c r="I222" i="1"/>
  <c r="J222" i="1"/>
  <c r="K222" i="1"/>
  <c r="L222" i="1"/>
  <c r="F223" i="1"/>
  <c r="G223" i="1"/>
  <c r="H223" i="1"/>
  <c r="I223" i="1"/>
  <c r="J223" i="1"/>
  <c r="K223" i="1"/>
  <c r="L223" i="1"/>
  <c r="F224" i="1"/>
  <c r="G224" i="1"/>
  <c r="H224" i="1"/>
  <c r="I224" i="1"/>
  <c r="J224" i="1"/>
  <c r="K224" i="1"/>
  <c r="L224" i="1"/>
  <c r="F225" i="1"/>
  <c r="G225" i="1"/>
  <c r="H225" i="1"/>
  <c r="I225" i="1"/>
  <c r="J225" i="1"/>
  <c r="K225" i="1"/>
  <c r="L225" i="1"/>
  <c r="F226" i="1"/>
  <c r="G226" i="1"/>
  <c r="H226" i="1"/>
  <c r="I226" i="1"/>
  <c r="J226" i="1"/>
  <c r="K226" i="1"/>
  <c r="L226" i="1"/>
  <c r="F227" i="1"/>
  <c r="G227" i="1"/>
  <c r="H227" i="1"/>
  <c r="I227" i="1"/>
  <c r="J227" i="1"/>
  <c r="K227" i="1"/>
  <c r="L227" i="1"/>
  <c r="F228" i="1"/>
  <c r="G228" i="1"/>
  <c r="H228" i="1"/>
  <c r="I228" i="1"/>
  <c r="J228" i="1"/>
  <c r="K228" i="1"/>
  <c r="L228" i="1"/>
  <c r="F229" i="1"/>
  <c r="G229" i="1"/>
  <c r="H229" i="1"/>
  <c r="I229" i="1"/>
  <c r="J229" i="1"/>
  <c r="K229" i="1"/>
  <c r="L229" i="1"/>
  <c r="F230" i="1"/>
  <c r="G230" i="1"/>
  <c r="H230" i="1"/>
  <c r="I230" i="1"/>
  <c r="J230" i="1"/>
  <c r="K230" i="1"/>
  <c r="L230" i="1"/>
  <c r="F231" i="1"/>
  <c r="G231" i="1"/>
  <c r="H231" i="1"/>
  <c r="I231" i="1"/>
  <c r="J231" i="1"/>
  <c r="K231" i="1"/>
  <c r="L231" i="1"/>
  <c r="F232" i="1"/>
  <c r="G232" i="1"/>
  <c r="H232" i="1"/>
  <c r="I232" i="1"/>
  <c r="J232" i="1"/>
  <c r="K232" i="1"/>
  <c r="L232" i="1"/>
  <c r="F233" i="1"/>
  <c r="G233" i="1"/>
  <c r="H233" i="1"/>
  <c r="I233" i="1"/>
  <c r="J233" i="1"/>
  <c r="K233" i="1"/>
  <c r="L233" i="1"/>
  <c r="F234" i="1"/>
  <c r="G234" i="1"/>
  <c r="H234" i="1"/>
  <c r="I234" i="1"/>
  <c r="J234" i="1"/>
  <c r="K234" i="1"/>
  <c r="L234" i="1"/>
  <c r="F235" i="1"/>
  <c r="G235" i="1"/>
  <c r="H235" i="1"/>
  <c r="I235" i="1"/>
  <c r="J235" i="1"/>
  <c r="K235" i="1"/>
  <c r="L235" i="1"/>
  <c r="F236" i="1"/>
  <c r="G236" i="1"/>
  <c r="H236" i="1"/>
  <c r="I236" i="1"/>
  <c r="J236" i="1"/>
  <c r="K236" i="1"/>
  <c r="L236" i="1"/>
  <c r="F237" i="1"/>
  <c r="G237" i="1"/>
  <c r="H237" i="1"/>
  <c r="I237" i="1"/>
  <c r="J237" i="1"/>
  <c r="K237" i="1"/>
  <c r="L237" i="1"/>
  <c r="F238" i="1"/>
  <c r="G238" i="1"/>
  <c r="H238" i="1"/>
  <c r="I238" i="1"/>
  <c r="J238" i="1"/>
  <c r="K238" i="1"/>
  <c r="L238" i="1"/>
  <c r="F239" i="1"/>
  <c r="G239" i="1"/>
  <c r="H239" i="1"/>
  <c r="I239" i="1"/>
  <c r="J239" i="1"/>
  <c r="K239" i="1"/>
  <c r="L239" i="1"/>
  <c r="F240" i="1"/>
  <c r="G240" i="1"/>
  <c r="H240" i="1"/>
  <c r="I240" i="1"/>
  <c r="J240" i="1"/>
  <c r="K240" i="1"/>
  <c r="L240" i="1"/>
  <c r="F241" i="1"/>
  <c r="G241" i="1"/>
  <c r="H241" i="1"/>
  <c r="I241" i="1"/>
  <c r="J241" i="1"/>
  <c r="K241" i="1"/>
  <c r="L241" i="1"/>
  <c r="F242" i="1"/>
  <c r="G242" i="1"/>
  <c r="H242" i="1"/>
  <c r="I242" i="1"/>
  <c r="J242" i="1"/>
  <c r="K242" i="1"/>
  <c r="L242" i="1"/>
  <c r="F243" i="1"/>
  <c r="G243" i="1"/>
  <c r="H243" i="1"/>
  <c r="I243" i="1"/>
  <c r="J243" i="1"/>
  <c r="K243" i="1"/>
  <c r="L243" i="1"/>
  <c r="F244" i="1"/>
  <c r="G244" i="1"/>
  <c r="H244" i="1"/>
  <c r="I244" i="1"/>
  <c r="J244" i="1"/>
  <c r="K244" i="1"/>
  <c r="L244" i="1"/>
  <c r="F245" i="1"/>
  <c r="G245" i="1"/>
  <c r="H245" i="1"/>
  <c r="I245" i="1"/>
  <c r="J245" i="1"/>
  <c r="K245" i="1"/>
  <c r="L245" i="1"/>
  <c r="F246" i="1"/>
  <c r="G246" i="1"/>
  <c r="H246" i="1"/>
  <c r="I246" i="1"/>
  <c r="J246" i="1"/>
  <c r="K246" i="1"/>
  <c r="L246" i="1"/>
  <c r="F247" i="1"/>
  <c r="G247" i="1"/>
  <c r="H247" i="1"/>
  <c r="I247" i="1"/>
  <c r="J247" i="1"/>
  <c r="K247" i="1"/>
  <c r="L247" i="1"/>
  <c r="F248" i="1"/>
  <c r="G248" i="1"/>
  <c r="H248" i="1"/>
  <c r="I248" i="1"/>
  <c r="J248" i="1"/>
  <c r="K248" i="1"/>
  <c r="L248" i="1"/>
  <c r="F249" i="1"/>
  <c r="G249" i="1"/>
  <c r="H249" i="1"/>
  <c r="I249" i="1"/>
  <c r="J249" i="1"/>
  <c r="K249" i="1"/>
  <c r="L249" i="1"/>
  <c r="F250" i="1"/>
  <c r="G250" i="1"/>
  <c r="H250" i="1"/>
  <c r="I250" i="1"/>
  <c r="J250" i="1"/>
  <c r="K250" i="1"/>
  <c r="L250" i="1"/>
  <c r="F251" i="1"/>
  <c r="G251" i="1"/>
  <c r="H251" i="1"/>
  <c r="I251" i="1"/>
  <c r="J251" i="1"/>
  <c r="K251" i="1"/>
  <c r="L251" i="1"/>
  <c r="F252" i="1"/>
  <c r="G252" i="1"/>
  <c r="H252" i="1"/>
  <c r="I252" i="1"/>
  <c r="J252" i="1"/>
  <c r="K252" i="1"/>
  <c r="L252" i="1"/>
  <c r="F253" i="1"/>
  <c r="G253" i="1"/>
  <c r="H253" i="1"/>
  <c r="I253" i="1"/>
  <c r="J253" i="1"/>
  <c r="K253" i="1"/>
  <c r="L253" i="1"/>
  <c r="F254" i="1"/>
  <c r="G254" i="1"/>
  <c r="H254" i="1"/>
  <c r="I254" i="1"/>
  <c r="J254" i="1"/>
  <c r="K254" i="1"/>
  <c r="L254" i="1"/>
  <c r="F255" i="1"/>
  <c r="G255" i="1"/>
  <c r="H255" i="1"/>
  <c r="I255" i="1"/>
  <c r="J255" i="1"/>
  <c r="K255" i="1"/>
  <c r="L255" i="1"/>
  <c r="F256" i="1"/>
  <c r="G256" i="1"/>
  <c r="H256" i="1"/>
  <c r="I256" i="1"/>
  <c r="J256" i="1"/>
  <c r="K256" i="1"/>
  <c r="L256" i="1"/>
  <c r="F257" i="1"/>
  <c r="G257" i="1"/>
  <c r="H257" i="1"/>
  <c r="I257" i="1"/>
  <c r="J257" i="1"/>
  <c r="K257" i="1"/>
  <c r="L257" i="1"/>
  <c r="F258" i="1"/>
  <c r="G258" i="1"/>
  <c r="H258" i="1"/>
  <c r="I258" i="1"/>
  <c r="J258" i="1"/>
  <c r="K258" i="1"/>
  <c r="L258" i="1"/>
  <c r="F259" i="1"/>
  <c r="G259" i="1"/>
  <c r="H259" i="1"/>
  <c r="I259" i="1"/>
  <c r="J259" i="1"/>
  <c r="K259" i="1"/>
  <c r="L259" i="1"/>
  <c r="F260" i="1"/>
  <c r="G260" i="1"/>
  <c r="H260" i="1"/>
  <c r="I260" i="1"/>
  <c r="J260" i="1"/>
  <c r="K260" i="1"/>
  <c r="L260" i="1"/>
  <c r="F261" i="1"/>
  <c r="G261" i="1"/>
  <c r="H261" i="1"/>
  <c r="I261" i="1"/>
  <c r="J261" i="1"/>
  <c r="K261" i="1"/>
  <c r="L261" i="1"/>
  <c r="F262" i="1"/>
  <c r="G262" i="1"/>
  <c r="H262" i="1"/>
  <c r="I262" i="1"/>
  <c r="J262" i="1"/>
  <c r="K262" i="1"/>
  <c r="L262" i="1"/>
  <c r="F263" i="1"/>
  <c r="G263" i="1"/>
  <c r="H263" i="1"/>
  <c r="I263" i="1"/>
  <c r="J263" i="1"/>
  <c r="K263" i="1"/>
  <c r="L263" i="1"/>
  <c r="F264" i="1"/>
  <c r="G264" i="1"/>
  <c r="H264" i="1"/>
  <c r="I264" i="1"/>
  <c r="J264" i="1"/>
  <c r="K264" i="1"/>
  <c r="L264" i="1"/>
  <c r="F265" i="1"/>
  <c r="G265" i="1"/>
  <c r="H265" i="1"/>
  <c r="I265" i="1"/>
  <c r="J265" i="1"/>
  <c r="K265" i="1"/>
  <c r="L265" i="1"/>
  <c r="F266" i="1"/>
  <c r="G266" i="1"/>
  <c r="H266" i="1"/>
  <c r="I266" i="1"/>
  <c r="J266" i="1"/>
  <c r="K266" i="1"/>
  <c r="L266" i="1"/>
  <c r="F267" i="1"/>
  <c r="G267" i="1"/>
  <c r="H267" i="1"/>
  <c r="I267" i="1"/>
  <c r="J267" i="1"/>
  <c r="K267" i="1"/>
  <c r="L267" i="1"/>
  <c r="F268" i="1"/>
  <c r="G268" i="1"/>
  <c r="H268" i="1"/>
  <c r="I268" i="1"/>
  <c r="J268" i="1"/>
  <c r="K268" i="1"/>
  <c r="L268" i="1"/>
  <c r="F269" i="1"/>
  <c r="G269" i="1"/>
  <c r="H269" i="1"/>
  <c r="I269" i="1"/>
  <c r="J269" i="1"/>
  <c r="K269" i="1"/>
  <c r="L269" i="1"/>
  <c r="F270" i="1"/>
  <c r="G270" i="1"/>
  <c r="H270" i="1"/>
  <c r="I270" i="1"/>
  <c r="J270" i="1"/>
  <c r="K270" i="1"/>
  <c r="L270" i="1"/>
  <c r="F271" i="1"/>
  <c r="G271" i="1"/>
  <c r="H271" i="1"/>
  <c r="I271" i="1"/>
  <c r="J271" i="1"/>
  <c r="K271" i="1"/>
  <c r="L271" i="1"/>
  <c r="F272" i="1"/>
  <c r="G272" i="1"/>
  <c r="H272" i="1"/>
  <c r="I272" i="1"/>
  <c r="J272" i="1"/>
  <c r="K272" i="1"/>
  <c r="L272" i="1"/>
  <c r="F273" i="1"/>
  <c r="G273" i="1"/>
  <c r="H273" i="1"/>
  <c r="I273" i="1"/>
  <c r="J273" i="1"/>
  <c r="K273" i="1"/>
  <c r="L273" i="1"/>
  <c r="F274" i="1"/>
  <c r="G274" i="1"/>
  <c r="H274" i="1"/>
  <c r="I274" i="1"/>
  <c r="J274" i="1"/>
  <c r="K274" i="1"/>
  <c r="L274" i="1"/>
  <c r="F275" i="1"/>
  <c r="G275" i="1"/>
  <c r="H275" i="1"/>
  <c r="I275" i="1"/>
  <c r="J275" i="1"/>
  <c r="K275" i="1"/>
  <c r="L275" i="1"/>
  <c r="F276" i="1"/>
  <c r="G276" i="1"/>
  <c r="H276" i="1"/>
  <c r="I276" i="1"/>
  <c r="J276" i="1"/>
  <c r="K276" i="1"/>
  <c r="L276" i="1"/>
  <c r="F277" i="1"/>
  <c r="G277" i="1"/>
  <c r="H277" i="1"/>
  <c r="I277" i="1"/>
  <c r="J277" i="1"/>
  <c r="K277" i="1"/>
  <c r="L277" i="1"/>
  <c r="F278" i="1"/>
  <c r="G278" i="1"/>
  <c r="H278" i="1"/>
  <c r="I278" i="1"/>
  <c r="J278" i="1"/>
  <c r="K278" i="1"/>
  <c r="L278" i="1"/>
  <c r="F279" i="1"/>
  <c r="G279" i="1"/>
  <c r="H279" i="1"/>
  <c r="I279" i="1"/>
  <c r="J279" i="1"/>
  <c r="K279" i="1"/>
  <c r="L279" i="1"/>
  <c r="F280" i="1"/>
  <c r="G280" i="1"/>
  <c r="H280" i="1"/>
  <c r="I280" i="1"/>
  <c r="J280" i="1"/>
  <c r="K280" i="1"/>
  <c r="L280" i="1"/>
  <c r="F281" i="1"/>
  <c r="G281" i="1"/>
  <c r="H281" i="1"/>
  <c r="I281" i="1"/>
  <c r="J281" i="1"/>
  <c r="K281" i="1"/>
  <c r="L281" i="1"/>
  <c r="F282" i="1"/>
  <c r="G282" i="1"/>
  <c r="H282" i="1"/>
  <c r="I282" i="1"/>
  <c r="J282" i="1"/>
  <c r="K282" i="1"/>
  <c r="L282" i="1"/>
  <c r="F283" i="1"/>
  <c r="G283" i="1"/>
  <c r="H283" i="1"/>
  <c r="I283" i="1"/>
  <c r="J283" i="1"/>
  <c r="K283" i="1"/>
  <c r="L283" i="1"/>
  <c r="F284" i="1"/>
  <c r="G284" i="1"/>
  <c r="H284" i="1"/>
  <c r="I284" i="1"/>
  <c r="J284" i="1"/>
  <c r="K284" i="1"/>
  <c r="L284" i="1"/>
  <c r="F285" i="1"/>
  <c r="G285" i="1"/>
  <c r="H285" i="1"/>
  <c r="I285" i="1"/>
  <c r="J285" i="1"/>
  <c r="K285" i="1"/>
  <c r="L285" i="1"/>
  <c r="F286" i="1"/>
  <c r="G286" i="1"/>
  <c r="H286" i="1"/>
  <c r="I286" i="1"/>
  <c r="J286" i="1"/>
  <c r="K286" i="1"/>
  <c r="L286" i="1"/>
  <c r="F287" i="1"/>
  <c r="G287" i="1"/>
  <c r="H287" i="1"/>
  <c r="I287" i="1"/>
  <c r="J287" i="1"/>
  <c r="K287" i="1"/>
  <c r="L287" i="1"/>
  <c r="F288" i="1"/>
  <c r="G288" i="1"/>
  <c r="H288" i="1"/>
  <c r="I288" i="1"/>
  <c r="J288" i="1"/>
  <c r="K288" i="1"/>
  <c r="L288" i="1"/>
  <c r="F289" i="1"/>
  <c r="G289" i="1"/>
  <c r="H289" i="1"/>
  <c r="I289" i="1"/>
  <c r="J289" i="1"/>
  <c r="K289" i="1"/>
  <c r="L289" i="1"/>
  <c r="F290" i="1"/>
  <c r="G290" i="1"/>
  <c r="H290" i="1"/>
  <c r="I290" i="1"/>
  <c r="J290" i="1"/>
  <c r="K290" i="1"/>
  <c r="L290" i="1"/>
  <c r="F291" i="1"/>
  <c r="G291" i="1"/>
  <c r="H291" i="1"/>
  <c r="I291" i="1"/>
  <c r="J291" i="1"/>
  <c r="K291" i="1"/>
  <c r="L291" i="1"/>
  <c r="F292" i="1"/>
  <c r="G292" i="1"/>
  <c r="H292" i="1"/>
  <c r="I292" i="1"/>
  <c r="J292" i="1"/>
  <c r="K292" i="1"/>
  <c r="L292" i="1"/>
  <c r="F293" i="1"/>
  <c r="G293" i="1"/>
  <c r="H293" i="1"/>
  <c r="I293" i="1"/>
  <c r="J293" i="1"/>
  <c r="K293" i="1"/>
  <c r="L293" i="1"/>
  <c r="F294" i="1"/>
  <c r="G294" i="1"/>
  <c r="H294" i="1"/>
  <c r="I294" i="1"/>
  <c r="J294" i="1"/>
  <c r="K294" i="1"/>
  <c r="L294" i="1"/>
  <c r="F295" i="1"/>
  <c r="G295" i="1"/>
  <c r="H295" i="1"/>
  <c r="I295" i="1"/>
  <c r="J295" i="1"/>
  <c r="K295" i="1"/>
  <c r="L295" i="1"/>
  <c r="F296" i="1"/>
  <c r="G296" i="1"/>
  <c r="H296" i="1"/>
  <c r="I296" i="1"/>
  <c r="J296" i="1"/>
  <c r="K296" i="1"/>
  <c r="L296" i="1"/>
  <c r="F297" i="1"/>
  <c r="G297" i="1"/>
  <c r="H297" i="1"/>
  <c r="I297" i="1"/>
  <c r="J297" i="1"/>
  <c r="K297" i="1"/>
  <c r="L297" i="1"/>
  <c r="F298" i="1"/>
  <c r="G298" i="1"/>
  <c r="H298" i="1"/>
  <c r="I298" i="1"/>
  <c r="J298" i="1"/>
  <c r="K298" i="1"/>
  <c r="L298" i="1"/>
  <c r="F299" i="1"/>
  <c r="G299" i="1"/>
  <c r="H299" i="1"/>
  <c r="I299" i="1"/>
  <c r="J299" i="1"/>
  <c r="K299" i="1"/>
  <c r="L299" i="1"/>
  <c r="F300" i="1"/>
  <c r="G300" i="1"/>
  <c r="H300" i="1"/>
  <c r="I300" i="1"/>
  <c r="J300" i="1"/>
  <c r="K300" i="1"/>
  <c r="L300" i="1"/>
  <c r="F301" i="1"/>
  <c r="G301" i="1"/>
  <c r="H301" i="1"/>
  <c r="I301" i="1"/>
  <c r="J301" i="1"/>
  <c r="K301" i="1"/>
  <c r="L301" i="1"/>
  <c r="F302" i="1"/>
  <c r="G302" i="1"/>
  <c r="H302" i="1"/>
  <c r="I302" i="1"/>
  <c r="J302" i="1"/>
  <c r="K302" i="1"/>
  <c r="L302" i="1"/>
  <c r="F303" i="1"/>
  <c r="G303" i="1"/>
  <c r="H303" i="1"/>
  <c r="I303" i="1"/>
  <c r="J303" i="1"/>
  <c r="K303" i="1"/>
  <c r="L303" i="1"/>
  <c r="F304" i="1"/>
  <c r="G304" i="1"/>
  <c r="H304" i="1"/>
  <c r="I304" i="1"/>
  <c r="J304" i="1"/>
  <c r="K304" i="1"/>
  <c r="L304" i="1"/>
  <c r="F305" i="1"/>
  <c r="G305" i="1"/>
  <c r="H305" i="1"/>
  <c r="I305" i="1"/>
  <c r="J305" i="1"/>
  <c r="K305" i="1"/>
  <c r="L305" i="1"/>
  <c r="F306" i="1"/>
  <c r="G306" i="1"/>
  <c r="H306" i="1"/>
  <c r="I306" i="1"/>
  <c r="J306" i="1"/>
  <c r="K306" i="1"/>
  <c r="L306" i="1"/>
  <c r="F307" i="1"/>
  <c r="G307" i="1"/>
  <c r="H307" i="1"/>
  <c r="I307" i="1"/>
  <c r="J307" i="1"/>
  <c r="K307" i="1"/>
  <c r="L307" i="1"/>
  <c r="F308" i="1"/>
  <c r="G308" i="1"/>
  <c r="H308" i="1"/>
  <c r="I308" i="1"/>
  <c r="J308" i="1"/>
  <c r="K308" i="1"/>
  <c r="L308" i="1"/>
  <c r="F309" i="1"/>
  <c r="G309" i="1"/>
  <c r="H309" i="1"/>
  <c r="I309" i="1"/>
  <c r="J309" i="1"/>
  <c r="K309" i="1"/>
  <c r="L309" i="1"/>
  <c r="F310" i="1"/>
  <c r="G310" i="1"/>
  <c r="H310" i="1"/>
  <c r="I310" i="1"/>
  <c r="J310" i="1"/>
  <c r="K310" i="1"/>
  <c r="L310" i="1"/>
  <c r="F311" i="1"/>
  <c r="G311" i="1"/>
  <c r="H311" i="1"/>
  <c r="I311" i="1"/>
  <c r="J311" i="1"/>
  <c r="K311" i="1"/>
  <c r="L311" i="1"/>
  <c r="F312" i="1"/>
  <c r="G312" i="1"/>
  <c r="H312" i="1"/>
  <c r="I312" i="1"/>
  <c r="J312" i="1"/>
  <c r="K312" i="1"/>
  <c r="L312" i="1"/>
  <c r="F313" i="1"/>
  <c r="G313" i="1"/>
  <c r="H313" i="1"/>
  <c r="I313" i="1"/>
  <c r="J313" i="1"/>
  <c r="K313" i="1"/>
  <c r="L313" i="1"/>
  <c r="F314" i="1"/>
  <c r="G314" i="1"/>
  <c r="H314" i="1"/>
  <c r="I314" i="1"/>
  <c r="J314" i="1"/>
  <c r="K314" i="1"/>
  <c r="L314" i="1"/>
  <c r="F315" i="1"/>
  <c r="G315" i="1"/>
  <c r="H315" i="1"/>
  <c r="I315" i="1"/>
  <c r="J315" i="1"/>
  <c r="K315" i="1"/>
  <c r="L315" i="1"/>
  <c r="F316" i="1"/>
  <c r="G316" i="1"/>
  <c r="H316" i="1"/>
  <c r="I316" i="1"/>
  <c r="J316" i="1"/>
  <c r="K316" i="1"/>
  <c r="L316" i="1"/>
  <c r="F317" i="1"/>
  <c r="G317" i="1"/>
  <c r="H317" i="1"/>
  <c r="I317" i="1"/>
  <c r="J317" i="1"/>
  <c r="K317" i="1"/>
  <c r="L317" i="1"/>
  <c r="F318" i="1"/>
  <c r="G318" i="1"/>
  <c r="H318" i="1"/>
  <c r="I318" i="1"/>
  <c r="J318" i="1"/>
  <c r="K318" i="1"/>
  <c r="L318" i="1"/>
  <c r="F319" i="1"/>
  <c r="G319" i="1"/>
  <c r="H319" i="1"/>
  <c r="I319" i="1"/>
  <c r="J319" i="1"/>
  <c r="K319" i="1"/>
  <c r="L319" i="1"/>
  <c r="F320" i="1"/>
  <c r="G320" i="1"/>
  <c r="H320" i="1"/>
  <c r="I320" i="1"/>
  <c r="J320" i="1"/>
  <c r="K320" i="1"/>
  <c r="L320" i="1"/>
  <c r="F321" i="1"/>
  <c r="G321" i="1"/>
  <c r="H321" i="1"/>
  <c r="I321" i="1"/>
  <c r="J321" i="1"/>
  <c r="K321" i="1"/>
  <c r="L321" i="1"/>
  <c r="F322" i="1"/>
  <c r="G322" i="1"/>
  <c r="H322" i="1"/>
  <c r="I322" i="1"/>
  <c r="J322" i="1"/>
  <c r="K322" i="1"/>
  <c r="L322" i="1"/>
  <c r="F323" i="1"/>
  <c r="G323" i="1"/>
  <c r="H323" i="1"/>
  <c r="I323" i="1"/>
  <c r="J323" i="1"/>
  <c r="K323" i="1"/>
  <c r="L323" i="1"/>
  <c r="F324" i="1"/>
  <c r="G324" i="1"/>
  <c r="H324" i="1"/>
  <c r="I324" i="1"/>
  <c r="J324" i="1"/>
  <c r="K324" i="1"/>
  <c r="L324" i="1"/>
  <c r="F325" i="1"/>
  <c r="G325" i="1"/>
  <c r="H325" i="1"/>
  <c r="I325" i="1"/>
  <c r="J325" i="1"/>
  <c r="K325" i="1"/>
  <c r="L325" i="1"/>
  <c r="F326" i="1"/>
  <c r="G326" i="1"/>
  <c r="H326" i="1"/>
  <c r="I326" i="1"/>
  <c r="J326" i="1"/>
  <c r="K326" i="1"/>
  <c r="L326" i="1"/>
  <c r="F327" i="1"/>
  <c r="G327" i="1"/>
  <c r="H327" i="1"/>
  <c r="I327" i="1"/>
  <c r="J327" i="1"/>
  <c r="K327" i="1"/>
  <c r="L327" i="1"/>
  <c r="F328" i="1"/>
  <c r="G328" i="1"/>
  <c r="H328" i="1"/>
  <c r="I328" i="1"/>
  <c r="J328" i="1"/>
  <c r="K328" i="1"/>
  <c r="L328" i="1"/>
  <c r="F329" i="1"/>
  <c r="G329" i="1"/>
  <c r="H329" i="1"/>
  <c r="I329" i="1"/>
  <c r="J329" i="1"/>
  <c r="K329" i="1"/>
  <c r="L329" i="1"/>
  <c r="F330" i="1"/>
  <c r="G330" i="1"/>
  <c r="H330" i="1"/>
  <c r="I330" i="1"/>
  <c r="J330" i="1"/>
  <c r="K330" i="1"/>
  <c r="L330" i="1"/>
  <c r="F331" i="1"/>
  <c r="G331" i="1"/>
  <c r="H331" i="1"/>
  <c r="I331" i="1"/>
  <c r="J331" i="1"/>
  <c r="K331" i="1"/>
  <c r="L331" i="1"/>
  <c r="F332" i="1"/>
  <c r="G332" i="1"/>
  <c r="H332" i="1"/>
  <c r="I332" i="1"/>
  <c r="J332" i="1"/>
  <c r="K332" i="1"/>
  <c r="L332" i="1"/>
  <c r="F333" i="1"/>
  <c r="G333" i="1"/>
  <c r="H333" i="1"/>
  <c r="I333" i="1"/>
  <c r="J333" i="1"/>
  <c r="K333" i="1"/>
  <c r="L333" i="1"/>
  <c r="F334" i="1"/>
  <c r="G334" i="1"/>
  <c r="H334" i="1"/>
  <c r="I334" i="1"/>
  <c r="J334" i="1"/>
  <c r="K334" i="1"/>
  <c r="L334" i="1"/>
  <c r="F335" i="1"/>
  <c r="G335" i="1"/>
  <c r="H335" i="1"/>
  <c r="I335" i="1"/>
  <c r="J335" i="1"/>
  <c r="K335" i="1"/>
  <c r="L335" i="1"/>
  <c r="F336" i="1"/>
  <c r="G336" i="1"/>
  <c r="H336" i="1"/>
  <c r="I336" i="1"/>
  <c r="J336" i="1"/>
  <c r="K336" i="1"/>
  <c r="L336" i="1"/>
  <c r="F337" i="1"/>
  <c r="G337" i="1"/>
  <c r="H337" i="1"/>
  <c r="I337" i="1"/>
  <c r="J337" i="1"/>
  <c r="K337" i="1"/>
  <c r="L337" i="1"/>
  <c r="F338" i="1"/>
  <c r="G338" i="1"/>
  <c r="H338" i="1"/>
  <c r="I338" i="1"/>
  <c r="J338" i="1"/>
  <c r="K338" i="1"/>
  <c r="L338" i="1"/>
  <c r="F339" i="1"/>
  <c r="G339" i="1"/>
  <c r="H339" i="1"/>
  <c r="I339" i="1"/>
  <c r="J339" i="1"/>
  <c r="K339" i="1"/>
  <c r="L339" i="1"/>
  <c r="F340" i="1"/>
  <c r="G340" i="1"/>
  <c r="H340" i="1"/>
  <c r="I340" i="1"/>
  <c r="J340" i="1"/>
  <c r="K340" i="1"/>
  <c r="L340" i="1"/>
  <c r="F341" i="1"/>
  <c r="G341" i="1"/>
  <c r="H341" i="1"/>
  <c r="I341" i="1"/>
  <c r="J341" i="1"/>
  <c r="K341" i="1"/>
  <c r="L341" i="1"/>
  <c r="F342" i="1"/>
  <c r="G342" i="1"/>
  <c r="H342" i="1"/>
  <c r="I342" i="1"/>
  <c r="J342" i="1"/>
  <c r="K342" i="1"/>
  <c r="L342" i="1"/>
  <c r="F343" i="1"/>
  <c r="G343" i="1"/>
  <c r="H343" i="1"/>
  <c r="I343" i="1"/>
  <c r="J343" i="1"/>
  <c r="K343" i="1"/>
  <c r="L343" i="1"/>
  <c r="F344" i="1"/>
  <c r="G344" i="1"/>
  <c r="H344" i="1"/>
  <c r="I344" i="1"/>
  <c r="J344" i="1"/>
  <c r="K344" i="1"/>
  <c r="L344" i="1"/>
  <c r="F345" i="1"/>
  <c r="G345" i="1"/>
  <c r="H345" i="1"/>
  <c r="I345" i="1"/>
  <c r="J345" i="1"/>
  <c r="K345" i="1"/>
  <c r="L345" i="1"/>
  <c r="F346" i="1"/>
  <c r="G346" i="1"/>
  <c r="H346" i="1"/>
  <c r="I346" i="1"/>
  <c r="J346" i="1"/>
  <c r="K346" i="1"/>
  <c r="L346" i="1"/>
  <c r="F347" i="1"/>
  <c r="G347" i="1"/>
  <c r="H347" i="1"/>
  <c r="I347" i="1"/>
  <c r="J347" i="1"/>
  <c r="K347" i="1"/>
  <c r="L347" i="1"/>
  <c r="F348" i="1"/>
  <c r="G348" i="1"/>
  <c r="H348" i="1"/>
  <c r="I348" i="1"/>
  <c r="J348" i="1"/>
  <c r="K348" i="1"/>
  <c r="L348" i="1"/>
  <c r="F349" i="1"/>
  <c r="G349" i="1"/>
  <c r="H349" i="1"/>
  <c r="I349" i="1"/>
  <c r="J349" i="1"/>
  <c r="K349" i="1"/>
  <c r="L349" i="1"/>
  <c r="F350" i="1"/>
  <c r="G350" i="1"/>
  <c r="H350" i="1"/>
  <c r="I350" i="1"/>
  <c r="J350" i="1"/>
  <c r="K350" i="1"/>
  <c r="L350" i="1"/>
  <c r="F351" i="1"/>
  <c r="G351" i="1"/>
  <c r="H351" i="1"/>
  <c r="I351" i="1"/>
  <c r="J351" i="1"/>
  <c r="K351" i="1"/>
  <c r="L351" i="1"/>
  <c r="F352" i="1"/>
  <c r="G352" i="1"/>
  <c r="H352" i="1"/>
  <c r="I352" i="1"/>
  <c r="J352" i="1"/>
  <c r="K352" i="1"/>
  <c r="L352" i="1"/>
  <c r="F353" i="1"/>
  <c r="G353" i="1"/>
  <c r="H353" i="1"/>
  <c r="I353" i="1"/>
  <c r="J353" i="1"/>
  <c r="K353" i="1"/>
  <c r="L353" i="1"/>
  <c r="F354" i="1"/>
  <c r="G354" i="1"/>
  <c r="H354" i="1"/>
  <c r="I354" i="1"/>
  <c r="J354" i="1"/>
  <c r="K354" i="1"/>
  <c r="L354" i="1"/>
  <c r="F355" i="1"/>
  <c r="G355" i="1"/>
  <c r="H355" i="1"/>
  <c r="I355" i="1"/>
  <c r="J355" i="1"/>
  <c r="K355" i="1"/>
  <c r="L355" i="1"/>
  <c r="F356" i="1"/>
  <c r="G356" i="1"/>
  <c r="H356" i="1"/>
  <c r="I356" i="1"/>
  <c r="J356" i="1"/>
  <c r="K356" i="1"/>
  <c r="L356" i="1"/>
  <c r="F357" i="1"/>
  <c r="G357" i="1"/>
  <c r="H357" i="1"/>
  <c r="I357" i="1"/>
  <c r="J357" i="1"/>
  <c r="K357" i="1"/>
  <c r="L357" i="1"/>
  <c r="F358" i="1"/>
  <c r="G358" i="1"/>
  <c r="H358" i="1"/>
  <c r="I358" i="1"/>
  <c r="J358" i="1"/>
  <c r="K358" i="1"/>
  <c r="L358" i="1"/>
  <c r="F359" i="1"/>
  <c r="G359" i="1"/>
  <c r="H359" i="1"/>
  <c r="I359" i="1"/>
  <c r="J359" i="1"/>
  <c r="K359" i="1"/>
  <c r="L359" i="1"/>
  <c r="F360" i="1"/>
  <c r="G360" i="1"/>
  <c r="H360" i="1"/>
  <c r="I360" i="1"/>
  <c r="J360" i="1"/>
  <c r="K360" i="1"/>
  <c r="L360" i="1"/>
  <c r="F361" i="1"/>
  <c r="G361" i="1"/>
  <c r="H361" i="1"/>
  <c r="I361" i="1"/>
  <c r="J361" i="1"/>
  <c r="K361" i="1"/>
  <c r="L361" i="1"/>
  <c r="F362" i="1"/>
  <c r="G362" i="1"/>
  <c r="H362" i="1"/>
  <c r="I362" i="1"/>
  <c r="J362" i="1"/>
  <c r="K362" i="1"/>
  <c r="L362" i="1"/>
  <c r="F363" i="1"/>
  <c r="G363" i="1"/>
  <c r="H363" i="1"/>
  <c r="I363" i="1"/>
  <c r="J363" i="1"/>
  <c r="K363" i="1"/>
  <c r="L363" i="1"/>
  <c r="F364" i="1"/>
  <c r="G364" i="1"/>
  <c r="H364" i="1"/>
  <c r="I364" i="1"/>
  <c r="J364" i="1"/>
  <c r="K364" i="1"/>
  <c r="L364" i="1"/>
  <c r="F365" i="1"/>
  <c r="G365" i="1"/>
  <c r="H365" i="1"/>
  <c r="I365" i="1"/>
  <c r="J365" i="1"/>
  <c r="K365" i="1"/>
  <c r="L365" i="1"/>
  <c r="F366" i="1"/>
  <c r="G366" i="1"/>
  <c r="H366" i="1"/>
  <c r="I366" i="1"/>
  <c r="J366" i="1"/>
  <c r="K366" i="1"/>
  <c r="L366" i="1"/>
  <c r="F367" i="1"/>
  <c r="G367" i="1"/>
  <c r="H367" i="1"/>
  <c r="I367" i="1"/>
  <c r="J367" i="1"/>
  <c r="K367" i="1"/>
  <c r="L367" i="1"/>
  <c r="F368" i="1"/>
  <c r="G368" i="1"/>
  <c r="H368" i="1"/>
  <c r="I368" i="1"/>
  <c r="J368" i="1"/>
  <c r="K368" i="1"/>
  <c r="L368" i="1"/>
  <c r="F369" i="1"/>
  <c r="G369" i="1"/>
  <c r="H369" i="1"/>
  <c r="I369" i="1"/>
  <c r="J369" i="1"/>
  <c r="K369" i="1"/>
  <c r="L369" i="1"/>
  <c r="F370" i="1"/>
  <c r="G370" i="1"/>
  <c r="H370" i="1"/>
  <c r="I370" i="1"/>
  <c r="J370" i="1"/>
  <c r="K370" i="1"/>
  <c r="L370" i="1"/>
  <c r="F371" i="1"/>
  <c r="G371" i="1"/>
  <c r="H371" i="1"/>
  <c r="I371" i="1"/>
  <c r="J371" i="1"/>
  <c r="K371" i="1"/>
  <c r="L371" i="1"/>
  <c r="F372" i="1"/>
  <c r="G372" i="1"/>
  <c r="H372" i="1"/>
  <c r="I372" i="1"/>
  <c r="J372" i="1"/>
  <c r="K372" i="1"/>
  <c r="L372" i="1"/>
  <c r="F373" i="1"/>
  <c r="G373" i="1"/>
  <c r="H373" i="1"/>
  <c r="I373" i="1"/>
  <c r="J373" i="1"/>
  <c r="K373" i="1"/>
  <c r="L373" i="1"/>
  <c r="F374" i="1"/>
  <c r="G374" i="1"/>
  <c r="H374" i="1"/>
  <c r="I374" i="1"/>
  <c r="J374" i="1"/>
  <c r="K374" i="1"/>
  <c r="L374" i="1"/>
  <c r="F375" i="1"/>
  <c r="G375" i="1"/>
  <c r="H375" i="1"/>
  <c r="I375" i="1"/>
  <c r="J375" i="1"/>
  <c r="K375" i="1"/>
  <c r="L375" i="1"/>
  <c r="F376" i="1"/>
  <c r="G376" i="1"/>
  <c r="H376" i="1"/>
  <c r="I376" i="1"/>
  <c r="J376" i="1"/>
  <c r="K376" i="1"/>
  <c r="L376" i="1"/>
  <c r="F377" i="1"/>
  <c r="G377" i="1"/>
  <c r="H377" i="1"/>
  <c r="I377" i="1"/>
  <c r="J377" i="1"/>
  <c r="K377" i="1"/>
  <c r="L377" i="1"/>
  <c r="F378" i="1"/>
  <c r="G378" i="1"/>
  <c r="H378" i="1"/>
  <c r="I378" i="1"/>
  <c r="J378" i="1"/>
  <c r="K378" i="1"/>
  <c r="L378" i="1"/>
  <c r="F379" i="1"/>
  <c r="G379" i="1"/>
  <c r="H379" i="1"/>
  <c r="I379" i="1"/>
  <c r="J379" i="1"/>
  <c r="K379" i="1"/>
  <c r="L379" i="1"/>
  <c r="F380" i="1"/>
  <c r="G380" i="1"/>
  <c r="H380" i="1"/>
  <c r="I380" i="1"/>
  <c r="J380" i="1"/>
  <c r="K380" i="1"/>
  <c r="L380" i="1"/>
  <c r="F381" i="1"/>
  <c r="G381" i="1"/>
  <c r="H381" i="1"/>
  <c r="I381" i="1"/>
  <c r="J381" i="1"/>
  <c r="K381" i="1"/>
  <c r="L381" i="1"/>
  <c r="F382" i="1"/>
  <c r="G382" i="1"/>
  <c r="H382" i="1"/>
  <c r="I382" i="1"/>
  <c r="J382" i="1"/>
  <c r="K382" i="1"/>
  <c r="L382" i="1"/>
  <c r="F383" i="1"/>
  <c r="G383" i="1"/>
  <c r="H383" i="1"/>
  <c r="I383" i="1"/>
  <c r="J383" i="1"/>
  <c r="K383" i="1"/>
  <c r="L383" i="1"/>
  <c r="F384" i="1"/>
  <c r="G384" i="1"/>
  <c r="H384" i="1"/>
  <c r="I384" i="1"/>
  <c r="J384" i="1"/>
  <c r="K384" i="1"/>
  <c r="L384" i="1"/>
  <c r="F385" i="1"/>
  <c r="G385" i="1"/>
  <c r="H385" i="1"/>
  <c r="I385" i="1"/>
  <c r="J385" i="1"/>
  <c r="K385" i="1"/>
  <c r="L385" i="1"/>
  <c r="F386" i="1"/>
  <c r="G386" i="1"/>
  <c r="H386" i="1"/>
  <c r="I386" i="1"/>
  <c r="J386" i="1"/>
  <c r="K386" i="1"/>
  <c r="L386" i="1"/>
  <c r="F387" i="1"/>
  <c r="G387" i="1"/>
  <c r="H387" i="1"/>
  <c r="I387" i="1"/>
  <c r="J387" i="1"/>
  <c r="K387" i="1"/>
  <c r="L387" i="1"/>
  <c r="F388" i="1"/>
  <c r="G388" i="1"/>
  <c r="H388" i="1"/>
  <c r="I388" i="1"/>
  <c r="J388" i="1"/>
  <c r="K388" i="1"/>
  <c r="L388" i="1"/>
  <c r="F389" i="1"/>
  <c r="G389" i="1"/>
  <c r="H389" i="1"/>
  <c r="I389" i="1"/>
  <c r="J389" i="1"/>
  <c r="K389" i="1"/>
  <c r="L389" i="1"/>
  <c r="F390" i="1"/>
  <c r="G390" i="1"/>
  <c r="H390" i="1"/>
  <c r="I390" i="1"/>
  <c r="J390" i="1"/>
  <c r="K390" i="1"/>
  <c r="L390" i="1"/>
  <c r="F391" i="1"/>
  <c r="G391" i="1"/>
  <c r="H391" i="1"/>
  <c r="I391" i="1"/>
  <c r="J391" i="1"/>
  <c r="K391" i="1"/>
  <c r="L391" i="1"/>
  <c r="F392" i="1"/>
  <c r="G392" i="1"/>
  <c r="H392" i="1"/>
  <c r="I392" i="1"/>
  <c r="J392" i="1"/>
  <c r="K392" i="1"/>
  <c r="L392" i="1"/>
  <c r="F393" i="1"/>
  <c r="G393" i="1"/>
  <c r="H393" i="1"/>
  <c r="I393" i="1"/>
  <c r="J393" i="1"/>
  <c r="K393" i="1"/>
  <c r="L393" i="1"/>
  <c r="F394" i="1"/>
  <c r="G394" i="1"/>
  <c r="H394" i="1"/>
  <c r="I394" i="1"/>
  <c r="J394" i="1"/>
  <c r="K394" i="1"/>
  <c r="L394" i="1"/>
  <c r="F395" i="1"/>
  <c r="G395" i="1"/>
  <c r="H395" i="1"/>
  <c r="I395" i="1"/>
  <c r="J395" i="1"/>
  <c r="K395" i="1"/>
  <c r="L395" i="1"/>
  <c r="F396" i="1"/>
  <c r="G396" i="1"/>
  <c r="H396" i="1"/>
  <c r="I396" i="1"/>
  <c r="J396" i="1"/>
  <c r="K396" i="1"/>
  <c r="L396" i="1"/>
  <c r="F397" i="1"/>
  <c r="G397" i="1"/>
  <c r="H397" i="1"/>
  <c r="I397" i="1"/>
  <c r="J397" i="1"/>
  <c r="K397" i="1"/>
  <c r="L397" i="1"/>
  <c r="F398" i="1"/>
  <c r="G398" i="1"/>
  <c r="H398" i="1"/>
  <c r="I398" i="1"/>
  <c r="J398" i="1"/>
  <c r="K398" i="1"/>
  <c r="L398" i="1"/>
  <c r="F399" i="1"/>
  <c r="G399" i="1"/>
  <c r="H399" i="1"/>
  <c r="I399" i="1"/>
  <c r="J399" i="1"/>
  <c r="K399" i="1"/>
  <c r="L399" i="1"/>
  <c r="F400" i="1"/>
  <c r="G400" i="1"/>
  <c r="H400" i="1"/>
  <c r="I400" i="1"/>
  <c r="J400" i="1"/>
  <c r="K400" i="1"/>
  <c r="L400" i="1"/>
  <c r="F401" i="1"/>
  <c r="G401" i="1"/>
  <c r="H401" i="1"/>
  <c r="I401" i="1"/>
  <c r="J401" i="1"/>
  <c r="K401" i="1"/>
  <c r="L401" i="1"/>
  <c r="F402" i="1"/>
  <c r="G402" i="1"/>
  <c r="H402" i="1"/>
  <c r="I402" i="1"/>
  <c r="J402" i="1"/>
  <c r="K402" i="1"/>
  <c r="L402" i="1"/>
  <c r="F403" i="1"/>
  <c r="G403" i="1"/>
  <c r="H403" i="1"/>
  <c r="I403" i="1"/>
  <c r="J403" i="1"/>
  <c r="K403" i="1"/>
  <c r="L403" i="1"/>
  <c r="F404" i="1"/>
  <c r="G404" i="1"/>
  <c r="H404" i="1"/>
  <c r="I404" i="1"/>
  <c r="J404" i="1"/>
  <c r="K404" i="1"/>
  <c r="L404" i="1"/>
  <c r="F405" i="1"/>
  <c r="G405" i="1"/>
  <c r="H405" i="1"/>
  <c r="I405" i="1"/>
  <c r="J405" i="1"/>
  <c r="K405" i="1"/>
  <c r="L405" i="1"/>
  <c r="F406" i="1"/>
  <c r="G406" i="1"/>
  <c r="H406" i="1"/>
  <c r="I406" i="1"/>
  <c r="J406" i="1"/>
  <c r="K406" i="1"/>
  <c r="L406" i="1"/>
  <c r="F407" i="1"/>
  <c r="G407" i="1"/>
  <c r="H407" i="1"/>
  <c r="I407" i="1"/>
  <c r="J407" i="1"/>
  <c r="K407" i="1"/>
  <c r="L407" i="1"/>
  <c r="F408" i="1"/>
  <c r="G408" i="1"/>
  <c r="H408" i="1"/>
  <c r="I408" i="1"/>
  <c r="J408" i="1"/>
  <c r="K408" i="1"/>
  <c r="L408" i="1"/>
  <c r="F409" i="1"/>
  <c r="G409" i="1"/>
  <c r="H409" i="1"/>
  <c r="I409" i="1"/>
  <c r="J409" i="1"/>
  <c r="K409" i="1"/>
  <c r="L409" i="1"/>
  <c r="F410" i="1"/>
  <c r="G410" i="1"/>
  <c r="H410" i="1"/>
  <c r="I410" i="1"/>
  <c r="J410" i="1"/>
  <c r="K410" i="1"/>
  <c r="L410" i="1"/>
  <c r="F411" i="1"/>
  <c r="G411" i="1"/>
  <c r="H411" i="1"/>
  <c r="I411" i="1"/>
  <c r="J411" i="1"/>
  <c r="K411" i="1"/>
  <c r="L411" i="1"/>
  <c r="F412" i="1"/>
  <c r="G412" i="1"/>
  <c r="H412" i="1"/>
  <c r="I412" i="1"/>
  <c r="J412" i="1"/>
  <c r="K412" i="1"/>
  <c r="L412" i="1"/>
  <c r="F413" i="1"/>
  <c r="G413" i="1"/>
  <c r="H413" i="1"/>
  <c r="I413" i="1"/>
  <c r="J413" i="1"/>
  <c r="K413" i="1"/>
  <c r="L413" i="1"/>
  <c r="F414" i="1"/>
  <c r="G414" i="1"/>
  <c r="H414" i="1"/>
  <c r="I414" i="1"/>
  <c r="J414" i="1"/>
  <c r="K414" i="1"/>
  <c r="L414" i="1"/>
  <c r="F415" i="1"/>
  <c r="G415" i="1"/>
  <c r="H415" i="1"/>
  <c r="I415" i="1"/>
  <c r="J415" i="1"/>
  <c r="K415" i="1"/>
  <c r="L415" i="1"/>
  <c r="F416" i="1"/>
  <c r="G416" i="1"/>
  <c r="H416" i="1"/>
  <c r="I416" i="1"/>
  <c r="J416" i="1"/>
  <c r="K416" i="1"/>
  <c r="L416" i="1"/>
  <c r="F417" i="1"/>
  <c r="G417" i="1"/>
  <c r="H417" i="1"/>
  <c r="I417" i="1"/>
  <c r="J417" i="1"/>
  <c r="K417" i="1"/>
  <c r="L417" i="1"/>
  <c r="F418" i="1"/>
  <c r="G418" i="1"/>
  <c r="H418" i="1"/>
  <c r="I418" i="1"/>
  <c r="J418" i="1"/>
  <c r="K418" i="1"/>
  <c r="L418" i="1"/>
  <c r="F419" i="1"/>
  <c r="G419" i="1"/>
  <c r="H419" i="1"/>
  <c r="I419" i="1"/>
  <c r="J419" i="1"/>
  <c r="K419" i="1"/>
  <c r="L419" i="1"/>
  <c r="F420" i="1"/>
  <c r="G420" i="1"/>
  <c r="H420" i="1"/>
  <c r="I420" i="1"/>
  <c r="J420" i="1"/>
  <c r="K420" i="1"/>
  <c r="L420" i="1"/>
  <c r="F421" i="1"/>
  <c r="G421" i="1"/>
  <c r="H421" i="1"/>
  <c r="I421" i="1"/>
  <c r="J421" i="1"/>
  <c r="K421" i="1"/>
  <c r="L421" i="1"/>
  <c r="F422" i="1"/>
  <c r="G422" i="1"/>
  <c r="H422" i="1"/>
  <c r="I422" i="1"/>
  <c r="J422" i="1"/>
  <c r="K422" i="1"/>
  <c r="L422" i="1"/>
  <c r="F423" i="1"/>
  <c r="G423" i="1"/>
  <c r="H423" i="1"/>
  <c r="I423" i="1"/>
  <c r="J423" i="1"/>
  <c r="K423" i="1"/>
  <c r="L423" i="1"/>
  <c r="F424" i="1"/>
  <c r="G424" i="1"/>
  <c r="H424" i="1"/>
  <c r="I424" i="1"/>
  <c r="J424" i="1"/>
  <c r="K424" i="1"/>
  <c r="L424" i="1"/>
  <c r="F425" i="1"/>
  <c r="G425" i="1"/>
  <c r="H425" i="1"/>
  <c r="I425" i="1"/>
  <c r="J425" i="1"/>
  <c r="K425" i="1"/>
  <c r="L425" i="1"/>
  <c r="F426" i="1"/>
  <c r="G426" i="1"/>
  <c r="H426" i="1"/>
  <c r="I426" i="1"/>
  <c r="J426" i="1"/>
  <c r="K426" i="1"/>
  <c r="L426" i="1"/>
  <c r="F427" i="1"/>
  <c r="G427" i="1"/>
  <c r="H427" i="1"/>
  <c r="I427" i="1"/>
  <c r="J427" i="1"/>
  <c r="K427" i="1"/>
  <c r="L427" i="1"/>
  <c r="F428" i="1"/>
  <c r="G428" i="1"/>
  <c r="H428" i="1"/>
  <c r="I428" i="1"/>
  <c r="J428" i="1"/>
  <c r="K428" i="1"/>
  <c r="L428" i="1"/>
  <c r="F429" i="1"/>
  <c r="G429" i="1"/>
  <c r="H429" i="1"/>
  <c r="I429" i="1"/>
  <c r="J429" i="1"/>
  <c r="K429" i="1"/>
  <c r="L429" i="1"/>
  <c r="F430" i="1"/>
  <c r="G430" i="1"/>
  <c r="H430" i="1"/>
  <c r="I430" i="1"/>
  <c r="J430" i="1"/>
  <c r="K430" i="1"/>
  <c r="L430" i="1"/>
  <c r="F431" i="1"/>
  <c r="G431" i="1"/>
  <c r="H431" i="1"/>
  <c r="I431" i="1"/>
  <c r="J431" i="1"/>
  <c r="K431" i="1"/>
  <c r="L431" i="1"/>
  <c r="F432" i="1"/>
  <c r="G432" i="1"/>
  <c r="H432" i="1"/>
  <c r="I432" i="1"/>
  <c r="J432" i="1"/>
  <c r="K432" i="1"/>
  <c r="L432" i="1"/>
  <c r="F433" i="1"/>
  <c r="G433" i="1"/>
  <c r="H433" i="1"/>
  <c r="I433" i="1"/>
  <c r="J433" i="1"/>
  <c r="K433" i="1"/>
  <c r="L433" i="1"/>
  <c r="F434" i="1"/>
  <c r="G434" i="1"/>
  <c r="H434" i="1"/>
  <c r="I434" i="1"/>
  <c r="J434" i="1"/>
  <c r="K434" i="1"/>
  <c r="L434" i="1"/>
  <c r="F435" i="1"/>
  <c r="G435" i="1"/>
  <c r="H435" i="1"/>
  <c r="I435" i="1"/>
  <c r="J435" i="1"/>
  <c r="K435" i="1"/>
  <c r="L435" i="1"/>
  <c r="F436" i="1"/>
  <c r="G436" i="1"/>
  <c r="H436" i="1"/>
  <c r="I436" i="1"/>
  <c r="J436" i="1"/>
  <c r="K436" i="1"/>
  <c r="L436" i="1"/>
  <c r="F437" i="1"/>
  <c r="G437" i="1"/>
  <c r="H437" i="1"/>
  <c r="I437" i="1"/>
  <c r="J437" i="1"/>
  <c r="K437" i="1"/>
  <c r="L437" i="1"/>
  <c r="F438" i="1"/>
  <c r="G438" i="1"/>
  <c r="H438" i="1"/>
  <c r="I438" i="1"/>
  <c r="J438" i="1"/>
  <c r="K438" i="1"/>
  <c r="L438" i="1"/>
  <c r="F439" i="1"/>
  <c r="G439" i="1"/>
  <c r="H439" i="1"/>
  <c r="I439" i="1"/>
  <c r="J439" i="1"/>
  <c r="K439" i="1"/>
  <c r="L439" i="1"/>
  <c r="F440" i="1"/>
  <c r="G440" i="1"/>
  <c r="H440" i="1"/>
  <c r="I440" i="1"/>
  <c r="J440" i="1"/>
  <c r="K440" i="1"/>
  <c r="L440" i="1"/>
  <c r="F441" i="1"/>
  <c r="G441" i="1"/>
  <c r="H441" i="1"/>
  <c r="I441" i="1"/>
  <c r="J441" i="1"/>
  <c r="K441" i="1"/>
  <c r="L441" i="1"/>
  <c r="F442" i="1"/>
  <c r="G442" i="1"/>
  <c r="H442" i="1"/>
  <c r="I442" i="1"/>
  <c r="J442" i="1"/>
  <c r="K442" i="1"/>
  <c r="L442" i="1"/>
  <c r="F443" i="1"/>
  <c r="G443" i="1"/>
  <c r="H443" i="1"/>
  <c r="I443" i="1"/>
  <c r="J443" i="1"/>
  <c r="K443" i="1"/>
  <c r="L443" i="1"/>
  <c r="F444" i="1"/>
  <c r="G444" i="1"/>
  <c r="H444" i="1"/>
  <c r="I444" i="1"/>
  <c r="J444" i="1"/>
  <c r="K444" i="1"/>
  <c r="L444" i="1"/>
  <c r="F445" i="1"/>
  <c r="G445" i="1"/>
  <c r="H445" i="1"/>
  <c r="I445" i="1"/>
  <c r="J445" i="1"/>
  <c r="K445" i="1"/>
  <c r="L445" i="1"/>
  <c r="F446" i="1"/>
  <c r="G446" i="1"/>
  <c r="H446" i="1"/>
  <c r="I446" i="1"/>
  <c r="J446" i="1"/>
  <c r="K446" i="1"/>
  <c r="L446" i="1"/>
  <c r="F447" i="1"/>
  <c r="G447" i="1"/>
  <c r="H447" i="1"/>
  <c r="I447" i="1"/>
  <c r="J447" i="1"/>
  <c r="K447" i="1"/>
  <c r="L447" i="1"/>
  <c r="F448" i="1"/>
  <c r="G448" i="1"/>
  <c r="H448" i="1"/>
  <c r="I448" i="1"/>
  <c r="J448" i="1"/>
  <c r="K448" i="1"/>
  <c r="L448" i="1"/>
  <c r="F449" i="1"/>
  <c r="G449" i="1"/>
  <c r="H449" i="1"/>
  <c r="I449" i="1"/>
  <c r="J449" i="1"/>
  <c r="K449" i="1"/>
  <c r="L449" i="1"/>
  <c r="F450" i="1"/>
  <c r="G450" i="1"/>
  <c r="H450" i="1"/>
  <c r="I450" i="1"/>
  <c r="J450" i="1"/>
  <c r="K450" i="1"/>
  <c r="L450" i="1"/>
  <c r="F451" i="1"/>
  <c r="G451" i="1"/>
  <c r="H451" i="1"/>
  <c r="I451" i="1"/>
  <c r="J451" i="1"/>
  <c r="K451" i="1"/>
  <c r="L451" i="1"/>
  <c r="F452" i="1"/>
  <c r="G452" i="1"/>
  <c r="H452" i="1"/>
  <c r="I452" i="1"/>
  <c r="J452" i="1"/>
  <c r="K452" i="1"/>
  <c r="L452" i="1"/>
  <c r="F453" i="1"/>
  <c r="G453" i="1"/>
  <c r="H453" i="1"/>
  <c r="I453" i="1"/>
  <c r="J453" i="1"/>
  <c r="K453" i="1"/>
  <c r="L453" i="1"/>
  <c r="F454" i="1"/>
  <c r="G454" i="1"/>
  <c r="H454" i="1"/>
  <c r="I454" i="1"/>
  <c r="J454" i="1"/>
  <c r="K454" i="1"/>
  <c r="L454" i="1"/>
  <c r="F455" i="1"/>
  <c r="G455" i="1"/>
  <c r="H455" i="1"/>
  <c r="I455" i="1"/>
  <c r="J455" i="1"/>
  <c r="K455" i="1"/>
  <c r="L455" i="1"/>
  <c r="F456" i="1"/>
  <c r="G456" i="1"/>
  <c r="H456" i="1"/>
  <c r="I456" i="1"/>
  <c r="J456" i="1"/>
  <c r="K456" i="1"/>
  <c r="L456" i="1"/>
  <c r="F457" i="1"/>
  <c r="G457" i="1"/>
  <c r="H457" i="1"/>
  <c r="I457" i="1"/>
  <c r="J457" i="1"/>
  <c r="K457" i="1"/>
  <c r="L457" i="1"/>
  <c r="F458" i="1"/>
  <c r="G458" i="1"/>
  <c r="H458" i="1"/>
  <c r="I458" i="1"/>
  <c r="J458" i="1"/>
  <c r="K458" i="1"/>
  <c r="L458" i="1"/>
  <c r="F459" i="1"/>
  <c r="G459" i="1"/>
  <c r="H459" i="1"/>
  <c r="I459" i="1"/>
  <c r="J459" i="1"/>
  <c r="K459" i="1"/>
  <c r="L459" i="1"/>
  <c r="F460" i="1"/>
  <c r="G460" i="1"/>
  <c r="H460" i="1"/>
  <c r="I460" i="1"/>
  <c r="J460" i="1"/>
  <c r="K460" i="1"/>
  <c r="L460" i="1"/>
  <c r="F461" i="1"/>
  <c r="G461" i="1"/>
  <c r="H461" i="1"/>
  <c r="I461" i="1"/>
  <c r="J461" i="1"/>
  <c r="K461" i="1"/>
  <c r="L461" i="1"/>
  <c r="F462" i="1"/>
  <c r="G462" i="1"/>
  <c r="H462" i="1"/>
  <c r="I462" i="1"/>
  <c r="J462" i="1"/>
  <c r="K462" i="1"/>
  <c r="L462" i="1"/>
  <c r="F463" i="1"/>
  <c r="G463" i="1"/>
  <c r="H463" i="1"/>
  <c r="I463" i="1"/>
  <c r="J463" i="1"/>
  <c r="K463" i="1"/>
  <c r="L463" i="1"/>
  <c r="F464" i="1"/>
  <c r="G464" i="1"/>
  <c r="H464" i="1"/>
  <c r="I464" i="1"/>
  <c r="J464" i="1"/>
  <c r="K464" i="1"/>
  <c r="L464" i="1"/>
  <c r="F465" i="1"/>
  <c r="G465" i="1"/>
  <c r="H465" i="1"/>
  <c r="I465" i="1"/>
  <c r="J465" i="1"/>
  <c r="K465" i="1"/>
  <c r="L465" i="1"/>
  <c r="F466" i="1"/>
  <c r="G466" i="1"/>
  <c r="H466" i="1"/>
  <c r="I466" i="1"/>
  <c r="J466" i="1"/>
  <c r="K466" i="1"/>
  <c r="L466" i="1"/>
  <c r="F467" i="1"/>
  <c r="G467" i="1"/>
  <c r="H467" i="1"/>
  <c r="I467" i="1"/>
  <c r="J467" i="1"/>
  <c r="K467" i="1"/>
  <c r="L467" i="1"/>
  <c r="F468" i="1"/>
  <c r="G468" i="1"/>
  <c r="H468" i="1"/>
  <c r="I468" i="1"/>
  <c r="J468" i="1"/>
  <c r="K468" i="1"/>
  <c r="L468" i="1"/>
  <c r="F469" i="1"/>
  <c r="G469" i="1"/>
  <c r="H469" i="1"/>
  <c r="I469" i="1"/>
  <c r="J469" i="1"/>
  <c r="K469" i="1"/>
  <c r="L469" i="1"/>
  <c r="F470" i="1"/>
  <c r="G470" i="1"/>
  <c r="H470" i="1"/>
  <c r="I470" i="1"/>
  <c r="J470" i="1"/>
  <c r="K470" i="1"/>
  <c r="L470" i="1"/>
  <c r="F471" i="1"/>
  <c r="G471" i="1"/>
  <c r="H471" i="1"/>
  <c r="I471" i="1"/>
  <c r="J471" i="1"/>
  <c r="K471" i="1"/>
  <c r="L471" i="1"/>
  <c r="F472" i="1"/>
  <c r="G472" i="1"/>
  <c r="H472" i="1"/>
  <c r="I472" i="1"/>
  <c r="J472" i="1"/>
  <c r="K472" i="1"/>
  <c r="L472" i="1"/>
  <c r="F473" i="1"/>
  <c r="G473" i="1"/>
  <c r="H473" i="1"/>
  <c r="I473" i="1"/>
  <c r="J473" i="1"/>
  <c r="K473" i="1"/>
  <c r="L473" i="1"/>
  <c r="F474" i="1"/>
  <c r="G474" i="1"/>
  <c r="H474" i="1"/>
  <c r="I474" i="1"/>
  <c r="J474" i="1"/>
  <c r="K474" i="1"/>
  <c r="L474" i="1"/>
  <c r="F475" i="1"/>
  <c r="G475" i="1"/>
  <c r="H475" i="1"/>
  <c r="I475" i="1"/>
  <c r="J475" i="1"/>
  <c r="K475" i="1"/>
  <c r="L475" i="1"/>
  <c r="F476" i="1"/>
  <c r="G476" i="1"/>
  <c r="H476" i="1"/>
  <c r="I476" i="1"/>
  <c r="J476" i="1"/>
  <c r="K476" i="1"/>
  <c r="L476" i="1"/>
  <c r="F477" i="1"/>
  <c r="G477" i="1"/>
  <c r="H477" i="1"/>
  <c r="I477" i="1"/>
  <c r="J477" i="1"/>
  <c r="K477" i="1"/>
  <c r="L477" i="1"/>
  <c r="F478" i="1"/>
  <c r="G478" i="1"/>
  <c r="H478" i="1"/>
  <c r="I478" i="1"/>
  <c r="J478" i="1"/>
  <c r="K478" i="1"/>
  <c r="L478" i="1"/>
  <c r="F479" i="1"/>
  <c r="G479" i="1"/>
  <c r="H479" i="1"/>
  <c r="I479" i="1"/>
  <c r="J479" i="1"/>
  <c r="K479" i="1"/>
  <c r="L479" i="1"/>
  <c r="F480" i="1"/>
  <c r="G480" i="1"/>
  <c r="H480" i="1"/>
  <c r="I480" i="1"/>
  <c r="J480" i="1"/>
  <c r="K480" i="1"/>
  <c r="L480" i="1"/>
  <c r="F481" i="1"/>
  <c r="G481" i="1"/>
  <c r="H481" i="1"/>
  <c r="I481" i="1"/>
  <c r="J481" i="1"/>
  <c r="K481" i="1"/>
  <c r="L481" i="1"/>
  <c r="F482" i="1"/>
  <c r="G482" i="1"/>
  <c r="H482" i="1"/>
  <c r="I482" i="1"/>
  <c r="J482" i="1"/>
  <c r="K482" i="1"/>
  <c r="L482" i="1"/>
  <c r="F483" i="1"/>
  <c r="G483" i="1"/>
  <c r="H483" i="1"/>
  <c r="I483" i="1"/>
  <c r="J483" i="1"/>
  <c r="K483" i="1"/>
  <c r="L483" i="1"/>
  <c r="F484" i="1"/>
  <c r="G484" i="1"/>
  <c r="H484" i="1"/>
  <c r="I484" i="1"/>
  <c r="J484" i="1"/>
  <c r="K484" i="1"/>
  <c r="L484" i="1"/>
  <c r="F485" i="1"/>
  <c r="G485" i="1"/>
  <c r="H485" i="1"/>
  <c r="I485" i="1"/>
  <c r="J485" i="1"/>
  <c r="K485" i="1"/>
  <c r="L485" i="1"/>
  <c r="F486" i="1"/>
  <c r="G486" i="1"/>
  <c r="H486" i="1"/>
  <c r="I486" i="1"/>
  <c r="J486" i="1"/>
  <c r="K486" i="1"/>
  <c r="L486" i="1"/>
  <c r="F487" i="1"/>
  <c r="G487" i="1"/>
  <c r="H487" i="1"/>
  <c r="I487" i="1"/>
  <c r="J487" i="1"/>
  <c r="K487" i="1"/>
  <c r="L487" i="1"/>
  <c r="F488" i="1"/>
  <c r="G488" i="1"/>
  <c r="H488" i="1"/>
  <c r="I488" i="1"/>
  <c r="J488" i="1"/>
  <c r="K488" i="1"/>
  <c r="L488" i="1"/>
  <c r="F489" i="1"/>
  <c r="G489" i="1"/>
  <c r="H489" i="1"/>
  <c r="I489" i="1"/>
  <c r="J489" i="1"/>
  <c r="K489" i="1"/>
  <c r="L489" i="1"/>
  <c r="F490" i="1"/>
  <c r="G490" i="1"/>
  <c r="H490" i="1"/>
  <c r="I490" i="1"/>
  <c r="J490" i="1"/>
  <c r="K490" i="1"/>
  <c r="L490" i="1"/>
  <c r="F491" i="1"/>
  <c r="G491" i="1"/>
  <c r="H491" i="1"/>
  <c r="I491" i="1"/>
  <c r="J491" i="1"/>
  <c r="K491" i="1"/>
  <c r="L491" i="1"/>
  <c r="F492" i="1"/>
  <c r="G492" i="1"/>
  <c r="H492" i="1"/>
  <c r="I492" i="1"/>
  <c r="J492" i="1"/>
  <c r="K492" i="1"/>
  <c r="L492" i="1"/>
  <c r="F493" i="1"/>
  <c r="G493" i="1"/>
  <c r="H493" i="1"/>
  <c r="I493" i="1"/>
  <c r="J493" i="1"/>
  <c r="K493" i="1"/>
  <c r="L493" i="1"/>
  <c r="F494" i="1"/>
  <c r="G494" i="1"/>
  <c r="H494" i="1"/>
  <c r="I494" i="1"/>
  <c r="J494" i="1"/>
  <c r="K494" i="1"/>
  <c r="L494" i="1"/>
  <c r="F495" i="1"/>
  <c r="G495" i="1"/>
  <c r="H495" i="1"/>
  <c r="I495" i="1"/>
  <c r="J495" i="1"/>
  <c r="K495" i="1"/>
  <c r="L495" i="1"/>
  <c r="F496" i="1"/>
  <c r="G496" i="1"/>
  <c r="H496" i="1"/>
  <c r="I496" i="1"/>
  <c r="J496" i="1"/>
  <c r="K496" i="1"/>
  <c r="L496" i="1"/>
  <c r="F497" i="1"/>
  <c r="G497" i="1"/>
  <c r="H497" i="1"/>
  <c r="I497" i="1"/>
  <c r="J497" i="1"/>
  <c r="K497" i="1"/>
  <c r="L497" i="1"/>
  <c r="F498" i="1"/>
  <c r="G498" i="1"/>
  <c r="H498" i="1"/>
  <c r="I498" i="1"/>
  <c r="J498" i="1"/>
  <c r="K498" i="1"/>
  <c r="L498" i="1"/>
  <c r="F499" i="1"/>
  <c r="G499" i="1"/>
  <c r="H499" i="1"/>
  <c r="I499" i="1"/>
  <c r="J499" i="1"/>
  <c r="K499" i="1"/>
  <c r="L499" i="1"/>
  <c r="F500" i="1"/>
  <c r="G500" i="1"/>
  <c r="H500" i="1"/>
  <c r="I500" i="1"/>
  <c r="J500" i="1"/>
  <c r="K500" i="1"/>
  <c r="L500" i="1"/>
  <c r="F501" i="1"/>
  <c r="G501" i="1"/>
  <c r="H501" i="1"/>
  <c r="I501" i="1"/>
  <c r="J501" i="1"/>
  <c r="K501" i="1"/>
  <c r="L501" i="1"/>
  <c r="F2" i="1"/>
  <c r="G2" i="1"/>
  <c r="H2" i="1"/>
  <c r="I2" i="1"/>
  <c r="J2" i="1"/>
  <c r="K2" i="1"/>
  <c r="L2" i="1"/>
  <c r="L3" i="1"/>
  <c r="K3" i="1"/>
  <c r="J3" i="1"/>
  <c r="I3" i="1"/>
  <c r="H3" i="1"/>
  <c r="G3" i="1"/>
  <c r="F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E3" i="1"/>
  <c r="E2" i="1"/>
  <c r="A4" i="1"/>
  <c r="A5" i="1" l="1"/>
  <c r="E4" i="1"/>
  <c r="A6" i="1" l="1"/>
  <c r="E5" i="1"/>
  <c r="A7" i="1" l="1"/>
  <c r="E6" i="1"/>
  <c r="A8" i="1" l="1"/>
  <c r="E7" i="1"/>
  <c r="A9" i="1" l="1"/>
  <c r="E8" i="1"/>
  <c r="A10" i="1" l="1"/>
  <c r="E9" i="1"/>
  <c r="A11" i="1" l="1"/>
  <c r="E10" i="1"/>
  <c r="A12" i="1" l="1"/>
  <c r="E11" i="1"/>
  <c r="A13" i="1" l="1"/>
  <c r="E12" i="1"/>
  <c r="A14" i="1" l="1"/>
  <c r="E13" i="1"/>
  <c r="A15" i="1" l="1"/>
  <c r="E14" i="1"/>
  <c r="A16" i="1" l="1"/>
  <c r="E15" i="1"/>
  <c r="A17" i="1" l="1"/>
  <c r="E16" i="1"/>
  <c r="A18" i="1" l="1"/>
  <c r="E17" i="1"/>
  <c r="A19" i="1" l="1"/>
  <c r="E18" i="1"/>
  <c r="A20" i="1" l="1"/>
  <c r="E19" i="1"/>
  <c r="A21" i="1" l="1"/>
  <c r="E20" i="1"/>
  <c r="A22" i="1" l="1"/>
  <c r="E21" i="1"/>
  <c r="A23" i="1" l="1"/>
  <c r="E22" i="1"/>
  <c r="A24" i="1" l="1"/>
  <c r="E23" i="1"/>
  <c r="A25" i="1" l="1"/>
  <c r="E24" i="1"/>
  <c r="A26" i="1" l="1"/>
  <c r="E25" i="1"/>
  <c r="A27" i="1" l="1"/>
  <c r="E26" i="1"/>
  <c r="A28" i="1" l="1"/>
  <c r="E27" i="1"/>
  <c r="A29" i="1" l="1"/>
  <c r="E28" i="1"/>
  <c r="A30" i="1" l="1"/>
  <c r="E29" i="1"/>
  <c r="A31" i="1" l="1"/>
  <c r="E30" i="1"/>
  <c r="A32" i="1" l="1"/>
  <c r="E31" i="1"/>
  <c r="A33" i="1" l="1"/>
  <c r="E32" i="1"/>
  <c r="A34" i="1" l="1"/>
  <c r="E33" i="1"/>
  <c r="A35" i="1" l="1"/>
  <c r="E34" i="1"/>
  <c r="A36" i="1" l="1"/>
  <c r="E35" i="1"/>
  <c r="A37" i="1" l="1"/>
  <c r="E36" i="1"/>
  <c r="A38" i="1" l="1"/>
  <c r="E37" i="1"/>
  <c r="A39" i="1" l="1"/>
  <c r="E38" i="1"/>
  <c r="A40" i="1" l="1"/>
  <c r="E39" i="1"/>
  <c r="A41" i="1" l="1"/>
  <c r="E40" i="1"/>
  <c r="A42" i="1" l="1"/>
  <c r="E41" i="1"/>
  <c r="A43" i="1" l="1"/>
  <c r="E42" i="1"/>
  <c r="A44" i="1" l="1"/>
  <c r="E43" i="1"/>
  <c r="A45" i="1" l="1"/>
  <c r="E44" i="1"/>
  <c r="A46" i="1" l="1"/>
  <c r="E45" i="1"/>
  <c r="A47" i="1" l="1"/>
  <c r="E46" i="1"/>
  <c r="A48" i="1" l="1"/>
  <c r="E47" i="1"/>
  <c r="A49" i="1" l="1"/>
  <c r="E48" i="1"/>
  <c r="A50" i="1" l="1"/>
  <c r="E49" i="1"/>
  <c r="A51" i="1" l="1"/>
  <c r="E50" i="1"/>
  <c r="A52" i="1" l="1"/>
  <c r="E51" i="1"/>
  <c r="A53" i="1" l="1"/>
  <c r="E52" i="1"/>
  <c r="A54" i="1" l="1"/>
  <c r="E53" i="1"/>
  <c r="A55" i="1" l="1"/>
  <c r="E54" i="1"/>
  <c r="A56" i="1" l="1"/>
  <c r="E55" i="1"/>
  <c r="A57" i="1" l="1"/>
  <c r="E56" i="1"/>
  <c r="A58" i="1" l="1"/>
  <c r="E57" i="1"/>
  <c r="A59" i="1" l="1"/>
  <c r="E58" i="1"/>
  <c r="A60" i="1" l="1"/>
  <c r="E59" i="1"/>
  <c r="A61" i="1" l="1"/>
  <c r="E60" i="1"/>
  <c r="A62" i="1" l="1"/>
  <c r="E61" i="1"/>
  <c r="A63" i="1" l="1"/>
  <c r="E62" i="1"/>
  <c r="A64" i="1" l="1"/>
  <c r="E63" i="1"/>
  <c r="A65" i="1" l="1"/>
  <c r="E64" i="1"/>
  <c r="A66" i="1" l="1"/>
  <c r="E65" i="1"/>
  <c r="A67" i="1" l="1"/>
  <c r="E66" i="1"/>
  <c r="A68" i="1" l="1"/>
  <c r="E67" i="1"/>
  <c r="A69" i="1" l="1"/>
  <c r="E68" i="1"/>
  <c r="A70" i="1" l="1"/>
  <c r="E69" i="1"/>
  <c r="A71" i="1" l="1"/>
  <c r="E70" i="1"/>
  <c r="A72" i="1" l="1"/>
  <c r="E71" i="1"/>
  <c r="A73" i="1" l="1"/>
  <c r="E72" i="1"/>
  <c r="A74" i="1" l="1"/>
  <c r="E73" i="1"/>
  <c r="A75" i="1" l="1"/>
  <c r="E74" i="1"/>
  <c r="A76" i="1" l="1"/>
  <c r="E75" i="1"/>
  <c r="A77" i="1" l="1"/>
  <c r="E76" i="1"/>
  <c r="A78" i="1" l="1"/>
  <c r="E77" i="1"/>
  <c r="A79" i="1" l="1"/>
  <c r="E78" i="1"/>
  <c r="A80" i="1" l="1"/>
  <c r="E79" i="1"/>
  <c r="A81" i="1" l="1"/>
  <c r="E80" i="1"/>
  <c r="A82" i="1" l="1"/>
  <c r="E81" i="1"/>
  <c r="A83" i="1" l="1"/>
  <c r="E82" i="1"/>
  <c r="A84" i="1" l="1"/>
  <c r="E83" i="1"/>
  <c r="A85" i="1" l="1"/>
  <c r="E84" i="1"/>
  <c r="A86" i="1" l="1"/>
  <c r="E85" i="1"/>
  <c r="A87" i="1" l="1"/>
  <c r="E86" i="1"/>
  <c r="A88" i="1" l="1"/>
  <c r="E87" i="1"/>
  <c r="A89" i="1" l="1"/>
  <c r="E88" i="1"/>
  <c r="A90" i="1" l="1"/>
  <c r="E89" i="1"/>
  <c r="A91" i="1" l="1"/>
  <c r="E90" i="1"/>
  <c r="A92" i="1" l="1"/>
  <c r="E91" i="1"/>
  <c r="A93" i="1" l="1"/>
  <c r="E92" i="1"/>
  <c r="A94" i="1" l="1"/>
  <c r="E93" i="1"/>
  <c r="A95" i="1" l="1"/>
  <c r="E94" i="1"/>
  <c r="A96" i="1" l="1"/>
  <c r="E95" i="1"/>
  <c r="A97" i="1" l="1"/>
  <c r="E96" i="1"/>
  <c r="A98" i="1" l="1"/>
  <c r="E97" i="1"/>
  <c r="A99" i="1" l="1"/>
  <c r="E98" i="1"/>
  <c r="A100" i="1" l="1"/>
  <c r="E99" i="1"/>
  <c r="A101" i="1" l="1"/>
  <c r="E100" i="1"/>
  <c r="A102" i="1" l="1"/>
  <c r="E101" i="1"/>
  <c r="A103" i="1" l="1"/>
  <c r="E102" i="1"/>
  <c r="A104" i="1" l="1"/>
  <c r="E103" i="1"/>
  <c r="A105" i="1" l="1"/>
  <c r="E104" i="1"/>
  <c r="A106" i="1" l="1"/>
  <c r="E105" i="1"/>
  <c r="A107" i="1" l="1"/>
  <c r="E106" i="1"/>
  <c r="A108" i="1" l="1"/>
  <c r="E107" i="1"/>
  <c r="A109" i="1" l="1"/>
  <c r="E108" i="1"/>
  <c r="A110" i="1" l="1"/>
  <c r="E109" i="1"/>
  <c r="A111" i="1" l="1"/>
  <c r="E110" i="1"/>
  <c r="A112" i="1" l="1"/>
  <c r="E111" i="1"/>
  <c r="A113" i="1" l="1"/>
  <c r="E112" i="1"/>
  <c r="A114" i="1" l="1"/>
  <c r="E113" i="1"/>
  <c r="A115" i="1" l="1"/>
  <c r="E114" i="1"/>
  <c r="A116" i="1" l="1"/>
  <c r="E115" i="1"/>
  <c r="A117" i="1" l="1"/>
  <c r="E116" i="1"/>
  <c r="A118" i="1" l="1"/>
  <c r="E117" i="1"/>
  <c r="A119" i="1" l="1"/>
  <c r="E118" i="1"/>
  <c r="A120" i="1" l="1"/>
  <c r="E119" i="1"/>
  <c r="A121" i="1" l="1"/>
  <c r="E120" i="1"/>
  <c r="A122" i="1" l="1"/>
  <c r="E121" i="1"/>
  <c r="A123" i="1" l="1"/>
  <c r="E122" i="1"/>
  <c r="A124" i="1" l="1"/>
  <c r="E123" i="1"/>
  <c r="A125" i="1" l="1"/>
  <c r="E124" i="1"/>
  <c r="A126" i="1" l="1"/>
  <c r="E125" i="1"/>
  <c r="A127" i="1" l="1"/>
  <c r="E126" i="1"/>
  <c r="A128" i="1" l="1"/>
  <c r="E127" i="1"/>
  <c r="A129" i="1" l="1"/>
  <c r="E128" i="1"/>
  <c r="A130" i="1" l="1"/>
  <c r="E129" i="1"/>
  <c r="A131" i="1" l="1"/>
  <c r="E130" i="1"/>
  <c r="A132" i="1" l="1"/>
  <c r="E131" i="1"/>
  <c r="A133" i="1" l="1"/>
  <c r="E132" i="1"/>
  <c r="A134" i="1" l="1"/>
  <c r="E133" i="1"/>
  <c r="A135" i="1" l="1"/>
  <c r="E134" i="1"/>
  <c r="A136" i="1" l="1"/>
  <c r="E135" i="1"/>
  <c r="A137" i="1" l="1"/>
  <c r="E136" i="1"/>
  <c r="A138" i="1" l="1"/>
  <c r="E137" i="1"/>
  <c r="A139" i="1" l="1"/>
  <c r="E138" i="1"/>
  <c r="A140" i="1" l="1"/>
  <c r="E139" i="1"/>
  <c r="A141" i="1" l="1"/>
  <c r="E140" i="1"/>
  <c r="A142" i="1" l="1"/>
  <c r="E141" i="1"/>
  <c r="A143" i="1" l="1"/>
  <c r="E142" i="1"/>
  <c r="A144" i="1" l="1"/>
  <c r="E143" i="1"/>
  <c r="A145" i="1" l="1"/>
  <c r="E144" i="1"/>
  <c r="A146" i="1" l="1"/>
  <c r="E145" i="1"/>
  <c r="A147" i="1" l="1"/>
  <c r="E146" i="1"/>
  <c r="A148" i="1" l="1"/>
  <c r="E147" i="1"/>
  <c r="A149" i="1" l="1"/>
  <c r="E148" i="1"/>
  <c r="A150" i="1" l="1"/>
  <c r="E149" i="1"/>
  <c r="A151" i="1" l="1"/>
  <c r="E150" i="1"/>
  <c r="A152" i="1" l="1"/>
  <c r="E151" i="1"/>
  <c r="A153" i="1" l="1"/>
  <c r="E152" i="1"/>
  <c r="A154" i="1" l="1"/>
  <c r="E153" i="1"/>
  <c r="A155" i="1" l="1"/>
  <c r="E154" i="1"/>
  <c r="A156" i="1" l="1"/>
  <c r="E155" i="1"/>
  <c r="A157" i="1" l="1"/>
  <c r="E156" i="1"/>
  <c r="A158" i="1" l="1"/>
  <c r="E157" i="1"/>
  <c r="A159" i="1" l="1"/>
  <c r="E158" i="1"/>
  <c r="A160" i="1" l="1"/>
  <c r="E159" i="1"/>
  <c r="A161" i="1" l="1"/>
  <c r="E160" i="1"/>
  <c r="A162" i="1" l="1"/>
  <c r="E161" i="1"/>
  <c r="A163" i="1" l="1"/>
  <c r="E162" i="1"/>
  <c r="A164" i="1" l="1"/>
  <c r="E163" i="1"/>
  <c r="A165" i="1" l="1"/>
  <c r="E164" i="1"/>
  <c r="A166" i="1" l="1"/>
  <c r="E165" i="1"/>
  <c r="A167" i="1" l="1"/>
  <c r="E166" i="1"/>
  <c r="A168" i="1" l="1"/>
  <c r="E167" i="1"/>
  <c r="A169" i="1" l="1"/>
  <c r="E168" i="1"/>
  <c r="A170" i="1" l="1"/>
  <c r="E169" i="1"/>
  <c r="A171" i="1" l="1"/>
  <c r="E170" i="1"/>
  <c r="A172" i="1" l="1"/>
  <c r="E171" i="1"/>
  <c r="A173" i="1" l="1"/>
  <c r="E172" i="1"/>
  <c r="A174" i="1" l="1"/>
  <c r="E173" i="1"/>
  <c r="A175" i="1" l="1"/>
  <c r="E174" i="1"/>
  <c r="A176" i="1" l="1"/>
  <c r="E175" i="1"/>
  <c r="A177" i="1" l="1"/>
  <c r="E176" i="1"/>
  <c r="A178" i="1" l="1"/>
  <c r="E177" i="1"/>
  <c r="A179" i="1" l="1"/>
  <c r="E178" i="1"/>
  <c r="A180" i="1" l="1"/>
  <c r="E179" i="1"/>
  <c r="A181" i="1" l="1"/>
  <c r="E180" i="1"/>
  <c r="A182" i="1" l="1"/>
  <c r="E181" i="1"/>
  <c r="A183" i="1" l="1"/>
  <c r="E182" i="1"/>
  <c r="A184" i="1" l="1"/>
  <c r="E183" i="1"/>
  <c r="A185" i="1" l="1"/>
  <c r="E184" i="1"/>
  <c r="A186" i="1" l="1"/>
  <c r="E185" i="1"/>
  <c r="A187" i="1" l="1"/>
  <c r="E186" i="1"/>
  <c r="A188" i="1" l="1"/>
  <c r="E187" i="1"/>
  <c r="A189" i="1" l="1"/>
  <c r="E188" i="1"/>
  <c r="A190" i="1" l="1"/>
  <c r="E189" i="1"/>
  <c r="A191" i="1" l="1"/>
  <c r="E190" i="1"/>
  <c r="A192" i="1" l="1"/>
  <c r="E191" i="1"/>
  <c r="A193" i="1" l="1"/>
  <c r="E192" i="1"/>
  <c r="A194" i="1" l="1"/>
  <c r="E193" i="1"/>
  <c r="A195" i="1" l="1"/>
  <c r="E194" i="1"/>
  <c r="A196" i="1" l="1"/>
  <c r="E195" i="1"/>
  <c r="A197" i="1" l="1"/>
  <c r="E196" i="1"/>
  <c r="A198" i="1" l="1"/>
  <c r="E197" i="1"/>
  <c r="A199" i="1" l="1"/>
  <c r="E198" i="1"/>
  <c r="A200" i="1" l="1"/>
  <c r="E199" i="1"/>
  <c r="A201" i="1" l="1"/>
  <c r="E200" i="1"/>
  <c r="A202" i="1" l="1"/>
  <c r="E201" i="1"/>
  <c r="A203" i="1" l="1"/>
  <c r="E202" i="1"/>
  <c r="A204" i="1" l="1"/>
  <c r="E203" i="1"/>
  <c r="A205" i="1" l="1"/>
  <c r="E204" i="1"/>
  <c r="A206" i="1" l="1"/>
  <c r="E205" i="1"/>
  <c r="A207" i="1" l="1"/>
  <c r="E206" i="1"/>
  <c r="A208" i="1" l="1"/>
  <c r="E207" i="1"/>
  <c r="A209" i="1" l="1"/>
  <c r="E208" i="1"/>
  <c r="A210" i="1" l="1"/>
  <c r="E209" i="1"/>
  <c r="A211" i="1" l="1"/>
  <c r="E210" i="1"/>
  <c r="A212" i="1" l="1"/>
  <c r="E211" i="1"/>
  <c r="A213" i="1" l="1"/>
  <c r="E212" i="1"/>
  <c r="A214" i="1" l="1"/>
  <c r="E213" i="1"/>
  <c r="A215" i="1" l="1"/>
  <c r="E214" i="1"/>
  <c r="A216" i="1" l="1"/>
  <c r="E215" i="1"/>
  <c r="A217" i="1" l="1"/>
  <c r="E216" i="1"/>
  <c r="A218" i="1" l="1"/>
  <c r="E217" i="1"/>
  <c r="A219" i="1" l="1"/>
  <c r="E218" i="1"/>
  <c r="A220" i="1" l="1"/>
  <c r="E219" i="1"/>
  <c r="A221" i="1" l="1"/>
  <c r="E220" i="1"/>
  <c r="A222" i="1" l="1"/>
  <c r="E221" i="1"/>
  <c r="A223" i="1" l="1"/>
  <c r="E222" i="1"/>
  <c r="A224" i="1" l="1"/>
  <c r="E223" i="1"/>
  <c r="A225" i="1" l="1"/>
  <c r="E224" i="1"/>
  <c r="A226" i="1" l="1"/>
  <c r="E225" i="1"/>
  <c r="A227" i="1" l="1"/>
  <c r="E226" i="1"/>
  <c r="A228" i="1" l="1"/>
  <c r="E227" i="1"/>
  <c r="A229" i="1" l="1"/>
  <c r="E228" i="1"/>
  <c r="A230" i="1" l="1"/>
  <c r="E229" i="1"/>
  <c r="A231" i="1" l="1"/>
  <c r="E230" i="1"/>
  <c r="A232" i="1" l="1"/>
  <c r="E231" i="1"/>
  <c r="A233" i="1" l="1"/>
  <c r="E232" i="1"/>
  <c r="A234" i="1" l="1"/>
  <c r="E233" i="1"/>
  <c r="A235" i="1" l="1"/>
  <c r="E234" i="1"/>
  <c r="A236" i="1" l="1"/>
  <c r="E235" i="1"/>
  <c r="A237" i="1" l="1"/>
  <c r="E236" i="1"/>
  <c r="A238" i="1" l="1"/>
  <c r="E237" i="1"/>
  <c r="A239" i="1" l="1"/>
  <c r="E238" i="1"/>
  <c r="A240" i="1" l="1"/>
  <c r="E239" i="1"/>
  <c r="A241" i="1" l="1"/>
  <c r="E240" i="1"/>
  <c r="A242" i="1" l="1"/>
  <c r="E241" i="1"/>
  <c r="A243" i="1" l="1"/>
  <c r="E242" i="1"/>
  <c r="A244" i="1" l="1"/>
  <c r="E243" i="1"/>
  <c r="A245" i="1" l="1"/>
  <c r="E244" i="1"/>
  <c r="A246" i="1" l="1"/>
  <c r="E245" i="1"/>
  <c r="A247" i="1" l="1"/>
  <c r="E246" i="1"/>
  <c r="A248" i="1" l="1"/>
  <c r="E247" i="1"/>
  <c r="A249" i="1" l="1"/>
  <c r="E248" i="1"/>
  <c r="A250" i="1" l="1"/>
  <c r="E249" i="1"/>
  <c r="A251" i="1" l="1"/>
  <c r="E250" i="1"/>
  <c r="A252" i="1" l="1"/>
  <c r="E251" i="1"/>
  <c r="A253" i="1" l="1"/>
  <c r="E252" i="1"/>
  <c r="A254" i="1" l="1"/>
  <c r="E253" i="1"/>
  <c r="A255" i="1" l="1"/>
  <c r="E254" i="1"/>
  <c r="A256" i="1" l="1"/>
  <c r="E255" i="1"/>
  <c r="A257" i="1" l="1"/>
  <c r="E256" i="1"/>
  <c r="A258" i="1" l="1"/>
  <c r="E257" i="1"/>
  <c r="A259" i="1" l="1"/>
  <c r="E258" i="1"/>
  <c r="A260" i="1" l="1"/>
  <c r="E259" i="1"/>
  <c r="A261" i="1" l="1"/>
  <c r="E260" i="1"/>
  <c r="A262" i="1" l="1"/>
  <c r="E261" i="1"/>
  <c r="A263" i="1" l="1"/>
  <c r="E262" i="1"/>
  <c r="A264" i="1" l="1"/>
  <c r="E263" i="1"/>
  <c r="A265" i="1" l="1"/>
  <c r="E264" i="1"/>
  <c r="A266" i="1" l="1"/>
  <c r="E265" i="1"/>
  <c r="A267" i="1" l="1"/>
  <c r="E266" i="1"/>
  <c r="A268" i="1" l="1"/>
  <c r="E267" i="1"/>
  <c r="A269" i="1" l="1"/>
  <c r="E268" i="1"/>
  <c r="A270" i="1" l="1"/>
  <c r="E269" i="1"/>
  <c r="A271" i="1" l="1"/>
  <c r="E270" i="1"/>
  <c r="A272" i="1" l="1"/>
  <c r="E271" i="1"/>
  <c r="A273" i="1" l="1"/>
  <c r="E272" i="1"/>
  <c r="A274" i="1" l="1"/>
  <c r="E273" i="1"/>
  <c r="A275" i="1" l="1"/>
  <c r="E274" i="1"/>
  <c r="A276" i="1" l="1"/>
  <c r="E275" i="1"/>
  <c r="A277" i="1" l="1"/>
  <c r="E276" i="1"/>
  <c r="A278" i="1" l="1"/>
  <c r="E277" i="1"/>
  <c r="A279" i="1" l="1"/>
  <c r="E278" i="1"/>
  <c r="A280" i="1" l="1"/>
  <c r="E279" i="1"/>
  <c r="A281" i="1" l="1"/>
  <c r="E280" i="1"/>
  <c r="A282" i="1" l="1"/>
  <c r="E281" i="1"/>
  <c r="A283" i="1" l="1"/>
  <c r="E282" i="1"/>
  <c r="A284" i="1" l="1"/>
  <c r="E283" i="1"/>
  <c r="A285" i="1" l="1"/>
  <c r="E284" i="1"/>
  <c r="A286" i="1" l="1"/>
  <c r="E285" i="1"/>
  <c r="A287" i="1" l="1"/>
  <c r="E286" i="1"/>
  <c r="A288" i="1" l="1"/>
  <c r="E287" i="1"/>
  <c r="A289" i="1" l="1"/>
  <c r="E288" i="1"/>
  <c r="A290" i="1" l="1"/>
  <c r="E289" i="1"/>
  <c r="A291" i="1" l="1"/>
  <c r="E290" i="1"/>
  <c r="A292" i="1" l="1"/>
  <c r="E291" i="1"/>
  <c r="A293" i="1" l="1"/>
  <c r="E292" i="1"/>
  <c r="A294" i="1" l="1"/>
  <c r="E293" i="1"/>
  <c r="A295" i="1" l="1"/>
  <c r="E294" i="1"/>
  <c r="A296" i="1" l="1"/>
  <c r="E295" i="1"/>
  <c r="A297" i="1" l="1"/>
  <c r="E296" i="1"/>
  <c r="A298" i="1" l="1"/>
  <c r="E297" i="1"/>
  <c r="A299" i="1" l="1"/>
  <c r="E298" i="1"/>
  <c r="A300" i="1" l="1"/>
  <c r="E299" i="1"/>
  <c r="A301" i="1" l="1"/>
  <c r="E300" i="1"/>
  <c r="A302" i="1" l="1"/>
  <c r="E301" i="1"/>
  <c r="A303" i="1" l="1"/>
  <c r="E302" i="1"/>
  <c r="A304" i="1" l="1"/>
  <c r="E303" i="1"/>
  <c r="A305" i="1" l="1"/>
  <c r="E304" i="1"/>
  <c r="A306" i="1" l="1"/>
  <c r="E305" i="1"/>
  <c r="A307" i="1" l="1"/>
  <c r="E306" i="1"/>
  <c r="A308" i="1" l="1"/>
  <c r="E307" i="1"/>
  <c r="A309" i="1" l="1"/>
  <c r="E308" i="1"/>
  <c r="A310" i="1" l="1"/>
  <c r="E309" i="1"/>
  <c r="A311" i="1" l="1"/>
  <c r="E310" i="1"/>
  <c r="A312" i="1" l="1"/>
  <c r="E311" i="1"/>
  <c r="A313" i="1" l="1"/>
  <c r="E312" i="1"/>
  <c r="A314" i="1" l="1"/>
  <c r="E313" i="1"/>
  <c r="A315" i="1" l="1"/>
  <c r="E314" i="1"/>
  <c r="A316" i="1" l="1"/>
  <c r="E315" i="1"/>
  <c r="A317" i="1" l="1"/>
  <c r="E316" i="1"/>
  <c r="A318" i="1" l="1"/>
  <c r="E317" i="1"/>
  <c r="A319" i="1" l="1"/>
  <c r="E318" i="1"/>
  <c r="A320" i="1" l="1"/>
  <c r="E319" i="1"/>
  <c r="A321" i="1" l="1"/>
  <c r="E320" i="1"/>
  <c r="A322" i="1" l="1"/>
  <c r="E321" i="1"/>
  <c r="A323" i="1" l="1"/>
  <c r="E322" i="1"/>
  <c r="A324" i="1" l="1"/>
  <c r="E323" i="1"/>
  <c r="A325" i="1" l="1"/>
  <c r="E324" i="1"/>
  <c r="A326" i="1" l="1"/>
  <c r="E325" i="1"/>
  <c r="A327" i="1" l="1"/>
  <c r="E326" i="1"/>
  <c r="A328" i="1" l="1"/>
  <c r="E327" i="1"/>
  <c r="A329" i="1" l="1"/>
  <c r="E328" i="1"/>
  <c r="A330" i="1" l="1"/>
  <c r="E329" i="1"/>
  <c r="A331" i="1" l="1"/>
  <c r="E330" i="1"/>
  <c r="A332" i="1" l="1"/>
  <c r="E331" i="1"/>
  <c r="A333" i="1" l="1"/>
  <c r="E332" i="1"/>
  <c r="A334" i="1" l="1"/>
  <c r="E333" i="1"/>
  <c r="A335" i="1" l="1"/>
  <c r="E334" i="1"/>
  <c r="A336" i="1" l="1"/>
  <c r="E335" i="1"/>
  <c r="A337" i="1" l="1"/>
  <c r="E336" i="1"/>
  <c r="A338" i="1" l="1"/>
  <c r="E337" i="1"/>
  <c r="A339" i="1" l="1"/>
  <c r="E338" i="1"/>
  <c r="A340" i="1" l="1"/>
  <c r="E339" i="1"/>
  <c r="A341" i="1" l="1"/>
  <c r="E340" i="1"/>
  <c r="A342" i="1" l="1"/>
  <c r="E341" i="1"/>
  <c r="A343" i="1" l="1"/>
  <c r="E342" i="1"/>
  <c r="A344" i="1" l="1"/>
  <c r="E343" i="1"/>
  <c r="A345" i="1" l="1"/>
  <c r="E344" i="1"/>
  <c r="A346" i="1" l="1"/>
  <c r="E345" i="1"/>
  <c r="A347" i="1" l="1"/>
  <c r="E346" i="1"/>
  <c r="A348" i="1" l="1"/>
  <c r="E347" i="1"/>
  <c r="A349" i="1" l="1"/>
  <c r="E348" i="1"/>
  <c r="A350" i="1" l="1"/>
  <c r="E349" i="1"/>
  <c r="A351" i="1" l="1"/>
  <c r="E350" i="1"/>
  <c r="A352" i="1" l="1"/>
  <c r="E351" i="1"/>
  <c r="A353" i="1" l="1"/>
  <c r="E352" i="1"/>
  <c r="A354" i="1" l="1"/>
  <c r="E353" i="1"/>
  <c r="A355" i="1" l="1"/>
  <c r="E354" i="1"/>
  <c r="A356" i="1" l="1"/>
  <c r="E355" i="1"/>
  <c r="A357" i="1" l="1"/>
  <c r="E356" i="1"/>
  <c r="A358" i="1" l="1"/>
  <c r="E357" i="1"/>
  <c r="A359" i="1" l="1"/>
  <c r="E358" i="1"/>
  <c r="A360" i="1" l="1"/>
  <c r="E359" i="1"/>
  <c r="A361" i="1" l="1"/>
  <c r="E360" i="1"/>
  <c r="A362" i="1" l="1"/>
  <c r="E361" i="1"/>
  <c r="A363" i="1" l="1"/>
  <c r="E362" i="1"/>
  <c r="A364" i="1" l="1"/>
  <c r="E363" i="1"/>
  <c r="A365" i="1" l="1"/>
  <c r="E364" i="1"/>
  <c r="A366" i="1" l="1"/>
  <c r="E365" i="1"/>
  <c r="A367" i="1" l="1"/>
  <c r="E366" i="1"/>
  <c r="A368" i="1" l="1"/>
  <c r="E367" i="1"/>
  <c r="A369" i="1" l="1"/>
  <c r="E368" i="1"/>
  <c r="A370" i="1" l="1"/>
  <c r="E369" i="1"/>
  <c r="A371" i="1" l="1"/>
  <c r="E370" i="1"/>
  <c r="A372" i="1" l="1"/>
  <c r="E371" i="1"/>
  <c r="A373" i="1" l="1"/>
  <c r="E372" i="1"/>
  <c r="A374" i="1" l="1"/>
  <c r="E373" i="1"/>
  <c r="A375" i="1" l="1"/>
  <c r="E374" i="1"/>
  <c r="A376" i="1" l="1"/>
  <c r="E375" i="1"/>
  <c r="A377" i="1" l="1"/>
  <c r="E376" i="1"/>
  <c r="A378" i="1" l="1"/>
  <c r="E377" i="1"/>
  <c r="A379" i="1" l="1"/>
  <c r="E378" i="1"/>
  <c r="A380" i="1" l="1"/>
  <c r="E379" i="1"/>
  <c r="A381" i="1" l="1"/>
  <c r="E380" i="1"/>
  <c r="A382" i="1" l="1"/>
  <c r="E381" i="1"/>
  <c r="A383" i="1" l="1"/>
  <c r="E382" i="1"/>
  <c r="A384" i="1" l="1"/>
  <c r="E383" i="1"/>
  <c r="A385" i="1" l="1"/>
  <c r="E384" i="1"/>
  <c r="A386" i="1" l="1"/>
  <c r="E385" i="1"/>
  <c r="A387" i="1" l="1"/>
  <c r="E386" i="1"/>
  <c r="A388" i="1" l="1"/>
  <c r="E387" i="1"/>
  <c r="A389" i="1" l="1"/>
  <c r="E388" i="1"/>
  <c r="A390" i="1" l="1"/>
  <c r="E389" i="1"/>
  <c r="A391" i="1" l="1"/>
  <c r="E390" i="1"/>
  <c r="A392" i="1" l="1"/>
  <c r="E391" i="1"/>
  <c r="A393" i="1" l="1"/>
  <c r="E392" i="1"/>
  <c r="A394" i="1" l="1"/>
  <c r="E393" i="1"/>
  <c r="A395" i="1" l="1"/>
  <c r="E394" i="1"/>
  <c r="A396" i="1" l="1"/>
  <c r="E395" i="1"/>
  <c r="A397" i="1" l="1"/>
  <c r="E396" i="1"/>
  <c r="A398" i="1" l="1"/>
  <c r="E397" i="1"/>
  <c r="A399" i="1" l="1"/>
  <c r="E398" i="1"/>
  <c r="A400" i="1" l="1"/>
  <c r="E399" i="1"/>
  <c r="A401" i="1" l="1"/>
  <c r="E400" i="1"/>
  <c r="A402" i="1" l="1"/>
  <c r="E401" i="1"/>
  <c r="A403" i="1" l="1"/>
  <c r="E402" i="1"/>
  <c r="A404" i="1" l="1"/>
  <c r="E403" i="1"/>
  <c r="A405" i="1" l="1"/>
  <c r="E404" i="1"/>
  <c r="A406" i="1" l="1"/>
  <c r="E405" i="1"/>
  <c r="A407" i="1" l="1"/>
  <c r="E406" i="1"/>
  <c r="A408" i="1" l="1"/>
  <c r="E407" i="1"/>
  <c r="A409" i="1" l="1"/>
  <c r="E408" i="1"/>
  <c r="A410" i="1" l="1"/>
  <c r="E409" i="1"/>
  <c r="A411" i="1" l="1"/>
  <c r="E410" i="1"/>
  <c r="A412" i="1" l="1"/>
  <c r="E411" i="1"/>
  <c r="A413" i="1" l="1"/>
  <c r="E412" i="1"/>
  <c r="A414" i="1" l="1"/>
  <c r="E413" i="1"/>
  <c r="A415" i="1" l="1"/>
  <c r="E414" i="1"/>
  <c r="A416" i="1" l="1"/>
  <c r="E415" i="1"/>
  <c r="A417" i="1" l="1"/>
  <c r="E416" i="1"/>
  <c r="A418" i="1" l="1"/>
  <c r="E417" i="1"/>
  <c r="A419" i="1" l="1"/>
  <c r="E418" i="1"/>
  <c r="A420" i="1" l="1"/>
  <c r="E419" i="1"/>
  <c r="A421" i="1" l="1"/>
  <c r="E420" i="1"/>
  <c r="A422" i="1" l="1"/>
  <c r="E421" i="1"/>
  <c r="A423" i="1" l="1"/>
  <c r="E422" i="1"/>
  <c r="A424" i="1" l="1"/>
  <c r="E423" i="1"/>
  <c r="A425" i="1" l="1"/>
  <c r="E424" i="1"/>
  <c r="A426" i="1" l="1"/>
  <c r="E425" i="1"/>
  <c r="A427" i="1" l="1"/>
  <c r="E426" i="1"/>
  <c r="A428" i="1" l="1"/>
  <c r="E427" i="1"/>
  <c r="A429" i="1" l="1"/>
  <c r="E428" i="1"/>
  <c r="A430" i="1" l="1"/>
  <c r="E429" i="1"/>
  <c r="A431" i="1" l="1"/>
  <c r="E430" i="1"/>
  <c r="A432" i="1" l="1"/>
  <c r="E431" i="1"/>
  <c r="A433" i="1" l="1"/>
  <c r="E432" i="1"/>
  <c r="A434" i="1" l="1"/>
  <c r="E433" i="1"/>
  <c r="A435" i="1" l="1"/>
  <c r="E434" i="1"/>
  <c r="A436" i="1" l="1"/>
  <c r="E435" i="1"/>
  <c r="A437" i="1" l="1"/>
  <c r="E436" i="1"/>
  <c r="A438" i="1" l="1"/>
  <c r="E437" i="1"/>
  <c r="A439" i="1" l="1"/>
  <c r="E438" i="1"/>
  <c r="A440" i="1" l="1"/>
  <c r="E439" i="1"/>
  <c r="A441" i="1" l="1"/>
  <c r="E440" i="1"/>
  <c r="A442" i="1" l="1"/>
  <c r="E441" i="1"/>
  <c r="A443" i="1" l="1"/>
  <c r="E442" i="1"/>
  <c r="A444" i="1" l="1"/>
  <c r="E443" i="1"/>
  <c r="A445" i="1" l="1"/>
  <c r="E444" i="1"/>
  <c r="A446" i="1" l="1"/>
  <c r="E445" i="1"/>
  <c r="A447" i="1" l="1"/>
  <c r="E446" i="1"/>
  <c r="A448" i="1" l="1"/>
  <c r="E447" i="1"/>
  <c r="A449" i="1" l="1"/>
  <c r="E448" i="1"/>
  <c r="A450" i="1" l="1"/>
  <c r="E449" i="1"/>
  <c r="A451" i="1" l="1"/>
  <c r="E450" i="1"/>
  <c r="A452" i="1" l="1"/>
  <c r="E451" i="1"/>
  <c r="A453" i="1" l="1"/>
  <c r="E452" i="1"/>
  <c r="A454" i="1" l="1"/>
  <c r="E453" i="1"/>
  <c r="A455" i="1" l="1"/>
  <c r="E454" i="1"/>
  <c r="A456" i="1" l="1"/>
  <c r="E455" i="1"/>
  <c r="A457" i="1" l="1"/>
  <c r="E456" i="1"/>
  <c r="A458" i="1" l="1"/>
  <c r="E457" i="1"/>
  <c r="A459" i="1" l="1"/>
  <c r="E458" i="1"/>
  <c r="A460" i="1" l="1"/>
  <c r="E459" i="1"/>
  <c r="A461" i="1" l="1"/>
  <c r="E460" i="1"/>
  <c r="A462" i="1" l="1"/>
  <c r="E461" i="1"/>
  <c r="A463" i="1" l="1"/>
  <c r="E462" i="1"/>
  <c r="A464" i="1" l="1"/>
  <c r="E463" i="1"/>
  <c r="A465" i="1" l="1"/>
  <c r="E464" i="1"/>
  <c r="A466" i="1" l="1"/>
  <c r="E465" i="1"/>
  <c r="A467" i="1" l="1"/>
  <c r="E466" i="1"/>
  <c r="A468" i="1" l="1"/>
  <c r="E467" i="1"/>
  <c r="A469" i="1" l="1"/>
  <c r="E468" i="1"/>
  <c r="A470" i="1" l="1"/>
  <c r="E469" i="1"/>
  <c r="A471" i="1" l="1"/>
  <c r="E470" i="1"/>
  <c r="A472" i="1" l="1"/>
  <c r="E471" i="1"/>
  <c r="A473" i="1" l="1"/>
  <c r="E472" i="1"/>
  <c r="A474" i="1" l="1"/>
  <c r="E473" i="1"/>
  <c r="A475" i="1" l="1"/>
  <c r="E474" i="1"/>
  <c r="A476" i="1" l="1"/>
  <c r="E475" i="1"/>
  <c r="A477" i="1" l="1"/>
  <c r="E476" i="1"/>
  <c r="A478" i="1" l="1"/>
  <c r="E477" i="1"/>
  <c r="A479" i="1" l="1"/>
  <c r="E478" i="1"/>
  <c r="A480" i="1" l="1"/>
  <c r="E479" i="1"/>
  <c r="A481" i="1" l="1"/>
  <c r="E480" i="1"/>
  <c r="A482" i="1" l="1"/>
  <c r="E481" i="1"/>
  <c r="A483" i="1" l="1"/>
  <c r="E482" i="1"/>
  <c r="A484" i="1" l="1"/>
  <c r="E483" i="1"/>
  <c r="A485" i="1" l="1"/>
  <c r="E484" i="1"/>
  <c r="A486" i="1" l="1"/>
  <c r="E485" i="1"/>
  <c r="A487" i="1" l="1"/>
  <c r="E486" i="1"/>
  <c r="A488" i="1" l="1"/>
  <c r="E487" i="1"/>
  <c r="A489" i="1" l="1"/>
  <c r="E488" i="1"/>
  <c r="A490" i="1" l="1"/>
  <c r="E489" i="1"/>
  <c r="A491" i="1" l="1"/>
  <c r="E490" i="1"/>
  <c r="A492" i="1" l="1"/>
  <c r="E491" i="1"/>
  <c r="A493" i="1" l="1"/>
  <c r="E492" i="1"/>
  <c r="A494" i="1" l="1"/>
  <c r="E493" i="1"/>
  <c r="A495" i="1" l="1"/>
  <c r="E494" i="1"/>
  <c r="A496" i="1" l="1"/>
  <c r="E495" i="1"/>
  <c r="A497" i="1" l="1"/>
  <c r="E496" i="1"/>
  <c r="A498" i="1" l="1"/>
  <c r="E497" i="1"/>
  <c r="A499" i="1" l="1"/>
  <c r="E498" i="1"/>
  <c r="A500" i="1" l="1"/>
  <c r="E499" i="1"/>
  <c r="A501" i="1" l="1"/>
  <c r="E500" i="1"/>
  <c r="E501" i="1" l="1"/>
</calcChain>
</file>

<file path=xl/sharedStrings.xml><?xml version="1.0" encoding="utf-8"?>
<sst xmlns="http://schemas.openxmlformats.org/spreadsheetml/2006/main" count="5" uniqueCount="5">
  <si>
    <t>Necessari per avanzamento</t>
  </si>
  <si>
    <t>level</t>
  </si>
  <si>
    <t>xp_required</t>
  </si>
  <si>
    <t>Moltiplicatore per bonus giornaliero</t>
  </si>
  <si>
    <t>Min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</si>
</sst>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4444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64" fontId="0" fillId="0" borderId="0" xfId="0" applyNumberFormat="1"/>
    <xf numFmtId="1" fontId="2" fillId="0" borderId="0" xfId="0" applyNumberFormat="1" applyFont="1" applyAlignment="1">
      <alignment vertical="center"/>
    </xf>
    <xf numFmtId="1" fontId="0" fillId="0" borderId="0" xfId="1" applyNumberFormat="1" applyFont="1"/>
    <xf numFmtId="43" fontId="2" fillId="0" borderId="0" xfId="1" applyFont="1" applyAlignment="1">
      <alignment vertical="center"/>
    </xf>
    <xf numFmtId="9" fontId="0" fillId="0" borderId="0" xfId="2" applyFont="1"/>
    <xf numFmtId="43" fontId="0" fillId="0" borderId="0" xfId="0" applyNumberFormat="1"/>
  </cellXfs>
  <cellStyles count="3"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27E3-F818-4C41-A176-F91E52DEC3D0}">
  <dimension ref="A1:N502"/>
  <sheetViews>
    <sheetView tabSelected="1" workbookViewId="0">
      <selection activeCell="M3" sqref="M3"/>
    </sheetView>
  </sheetViews>
  <sheetFormatPr defaultRowHeight="15" x14ac:dyDescent="0.25"/>
  <cols>
    <col min="1" max="1" width="6.85546875" bestFit="1" customWidth="1"/>
    <col min="2" max="2" width="24.28515625" style="4" bestFit="1" customWidth="1"/>
    <col min="3" max="3" width="27.28515625" style="1" bestFit="1" customWidth="1"/>
    <col min="4" max="4" width="33.85546875" bestFit="1" customWidth="1"/>
    <col min="5" max="5" width="13.42578125" style="1" bestFit="1" customWidth="1"/>
    <col min="6" max="6" width="14.28515625" bestFit="1" customWidth="1"/>
    <col min="7" max="9" width="13.28515625" bestFit="1" customWidth="1"/>
    <col min="10" max="12" width="11.5703125" bestFit="1" customWidth="1"/>
    <col min="13" max="13" width="20.42578125" bestFit="1" customWidth="1"/>
    <col min="14" max="14" width="13.28515625" bestFit="1" customWidth="1"/>
  </cols>
  <sheetData>
    <row r="1" spans="1:14" x14ac:dyDescent="0.25">
      <c r="A1" t="s">
        <v>1</v>
      </c>
      <c r="B1" s="3" t="s">
        <v>2</v>
      </c>
      <c r="C1" s="1" t="s">
        <v>0</v>
      </c>
      <c r="D1" t="s">
        <v>3</v>
      </c>
      <c r="E1" s="1" t="s">
        <v>4</v>
      </c>
      <c r="F1" s="6">
        <v>0.5</v>
      </c>
      <c r="G1" s="6">
        <v>0.2</v>
      </c>
      <c r="H1" s="6">
        <v>0.1</v>
      </c>
      <c r="I1" s="6">
        <v>0.08</v>
      </c>
      <c r="J1" s="6">
        <v>0.06</v>
      </c>
      <c r="K1" s="6">
        <v>0.04</v>
      </c>
      <c r="L1" s="6">
        <v>0.02</v>
      </c>
    </row>
    <row r="2" spans="1:14" x14ac:dyDescent="0.25">
      <c r="A2">
        <v>1</v>
      </c>
      <c r="B2" s="5">
        <v>0</v>
      </c>
      <c r="D2">
        <v>1</v>
      </c>
      <c r="E2" s="1">
        <f t="shared" ref="E2:E65" si="0">+D2*10000</f>
        <v>10000</v>
      </c>
      <c r="F2" s="1">
        <f>$C3/($E2*1)</f>
        <v>2</v>
      </c>
      <c r="G2" s="1">
        <f>$C3/($E2*2)</f>
        <v>1</v>
      </c>
      <c r="H2" s="1">
        <f>$C3/($E2*5)</f>
        <v>0.4</v>
      </c>
      <c r="I2" s="1">
        <f>$C3/($E2*10)</f>
        <v>0.2</v>
      </c>
      <c r="J2" s="1">
        <f>$C3/($E2*15)</f>
        <v>0.13333333333333333</v>
      </c>
      <c r="K2" s="1">
        <f>$C3/($E2*30)</f>
        <v>6.6666666666666666E-2</v>
      </c>
      <c r="L2" s="1">
        <f>$C3/($E2*100)</f>
        <v>0.02</v>
      </c>
      <c r="M2">
        <f>ROUND(MAX(E3*6.3*10%,C3*0.05%),-MAX(2,INT(LOG10(MAX(E3*6.3*10%,C3*0.05%)))-2))</f>
        <v>6400</v>
      </c>
    </row>
    <row r="3" spans="1:14" x14ac:dyDescent="0.25">
      <c r="A3">
        <v>2</v>
      </c>
      <c r="B3" s="1">
        <v>20000</v>
      </c>
      <c r="C3" s="1">
        <v>20000</v>
      </c>
      <c r="D3">
        <f t="shared" ref="D3:D66" si="1">ROUND(1.01^A3,2)</f>
        <v>1.02</v>
      </c>
      <c r="E3" s="1">
        <f t="shared" si="0"/>
        <v>10200</v>
      </c>
      <c r="F3" s="1">
        <f>$C4/($E3*1)</f>
        <v>1.9607843137254901</v>
      </c>
      <c r="G3" s="1">
        <f>$C4/($E3*2)</f>
        <v>0.98039215686274506</v>
      </c>
      <c r="H3" s="1">
        <f>$C4/($E3*5)</f>
        <v>0.39215686274509803</v>
      </c>
      <c r="I3" s="1">
        <f>$C4/($E3*10)</f>
        <v>0.19607843137254902</v>
      </c>
      <c r="J3" s="1">
        <f>$C4/($E3*15)</f>
        <v>0.13071895424836602</v>
      </c>
      <c r="K3" s="1">
        <f>$C4/($E3*30)</f>
        <v>6.535947712418301E-2</v>
      </c>
      <c r="L3" s="1">
        <f>$C4/($E3*100)</f>
        <v>1.9607843137254902E-2</v>
      </c>
      <c r="M3">
        <f t="shared" ref="M3:M66" si="2">ROUND(MAX(E4*6.3*10%,C4*0.05%),-MAX(2,INT(LOG10(MAX(E4*6.3*10%,C4*0.05%)))-2))</f>
        <v>6500</v>
      </c>
      <c r="N3" s="7"/>
    </row>
    <row r="4" spans="1:14" x14ac:dyDescent="0.25">
      <c r="A4">
        <f>+A3+1</f>
        <v>3</v>
      </c>
      <c r="B4" s="1">
        <v>40000</v>
      </c>
      <c r="C4" s="1">
        <v>20000</v>
      </c>
      <c r="D4">
        <f t="shared" si="1"/>
        <v>1.03</v>
      </c>
      <c r="E4" s="1">
        <f t="shared" si="0"/>
        <v>10300</v>
      </c>
      <c r="F4" s="1">
        <f t="shared" ref="F4:F67" si="3">$C5/($E4*1)</f>
        <v>1.941747572815534</v>
      </c>
      <c r="G4" s="1">
        <f t="shared" ref="G4:G67" si="4">$C5/($E4*2)</f>
        <v>0.970873786407767</v>
      </c>
      <c r="H4" s="1">
        <f t="shared" ref="H4:H67" si="5">$C5/($E4*5)</f>
        <v>0.38834951456310679</v>
      </c>
      <c r="I4" s="1">
        <f t="shared" ref="I4:I67" si="6">$C5/($E4*10)</f>
        <v>0.1941747572815534</v>
      </c>
      <c r="J4" s="1">
        <f t="shared" ref="J4:J67" si="7">$C5/($E4*15)</f>
        <v>0.12944983818770225</v>
      </c>
      <c r="K4" s="1">
        <f t="shared" ref="K4:K67" si="8">$C5/($E4*30)</f>
        <v>6.4724919093851127E-2</v>
      </c>
      <c r="L4" s="1">
        <f t="shared" ref="L4:L67" si="9">$C5/($E4*100)</f>
        <v>1.9417475728155338E-2</v>
      </c>
      <c r="M4">
        <f t="shared" si="2"/>
        <v>6600</v>
      </c>
      <c r="N4" s="7"/>
    </row>
    <row r="5" spans="1:14" x14ac:dyDescent="0.25">
      <c r="A5">
        <f t="shared" ref="A5:A68" si="10">+A4+1</f>
        <v>4</v>
      </c>
      <c r="B5" s="1">
        <v>60000</v>
      </c>
      <c r="C5" s="1">
        <v>20000</v>
      </c>
      <c r="D5">
        <f t="shared" si="1"/>
        <v>1.04</v>
      </c>
      <c r="E5" s="1">
        <f t="shared" si="0"/>
        <v>10400</v>
      </c>
      <c r="F5" s="1">
        <f t="shared" si="3"/>
        <v>2.8846153846153846</v>
      </c>
      <c r="G5" s="1">
        <f t="shared" si="4"/>
        <v>1.4423076923076923</v>
      </c>
      <c r="H5" s="1">
        <f t="shared" si="5"/>
        <v>0.57692307692307687</v>
      </c>
      <c r="I5" s="1">
        <f t="shared" si="6"/>
        <v>0.28846153846153844</v>
      </c>
      <c r="J5" s="1">
        <f t="shared" si="7"/>
        <v>0.19230769230769232</v>
      </c>
      <c r="K5" s="1">
        <f t="shared" si="8"/>
        <v>9.6153846153846159E-2</v>
      </c>
      <c r="L5" s="1">
        <f t="shared" si="9"/>
        <v>2.8846153846153848E-2</v>
      </c>
      <c r="M5">
        <f t="shared" si="2"/>
        <v>6600</v>
      </c>
      <c r="N5" s="7"/>
    </row>
    <row r="6" spans="1:14" x14ac:dyDescent="0.25">
      <c r="A6">
        <f t="shared" si="10"/>
        <v>5</v>
      </c>
      <c r="B6" s="1">
        <v>90000</v>
      </c>
      <c r="C6" s="1">
        <v>30000</v>
      </c>
      <c r="D6">
        <f t="shared" si="1"/>
        <v>1.05</v>
      </c>
      <c r="E6" s="1">
        <f t="shared" si="0"/>
        <v>10500</v>
      </c>
      <c r="F6" s="1">
        <f t="shared" si="3"/>
        <v>2.8571428571428572</v>
      </c>
      <c r="G6" s="1">
        <f t="shared" si="4"/>
        <v>1.4285714285714286</v>
      </c>
      <c r="H6" s="1">
        <f t="shared" si="5"/>
        <v>0.5714285714285714</v>
      </c>
      <c r="I6" s="1">
        <f t="shared" si="6"/>
        <v>0.2857142857142857</v>
      </c>
      <c r="J6" s="1">
        <f t="shared" si="7"/>
        <v>0.19047619047619047</v>
      </c>
      <c r="K6" s="1">
        <f t="shared" si="8"/>
        <v>9.5238095238095233E-2</v>
      </c>
      <c r="L6" s="1">
        <f t="shared" si="9"/>
        <v>2.8571428571428571E-2</v>
      </c>
      <c r="M6">
        <f t="shared" si="2"/>
        <v>6700</v>
      </c>
      <c r="N6" s="7"/>
    </row>
    <row r="7" spans="1:14" x14ac:dyDescent="0.25">
      <c r="A7">
        <f t="shared" si="10"/>
        <v>6</v>
      </c>
      <c r="B7" s="1">
        <v>120000</v>
      </c>
      <c r="C7" s="1">
        <v>30000</v>
      </c>
      <c r="D7">
        <f t="shared" si="1"/>
        <v>1.06</v>
      </c>
      <c r="E7" s="1">
        <f t="shared" si="0"/>
        <v>10600</v>
      </c>
      <c r="F7" s="1">
        <f t="shared" si="3"/>
        <v>2.8301886792452828</v>
      </c>
      <c r="G7" s="1">
        <f t="shared" si="4"/>
        <v>1.4150943396226414</v>
      </c>
      <c r="H7" s="1">
        <f t="shared" si="5"/>
        <v>0.56603773584905659</v>
      </c>
      <c r="I7" s="1">
        <f t="shared" si="6"/>
        <v>0.28301886792452829</v>
      </c>
      <c r="J7" s="1">
        <f t="shared" si="7"/>
        <v>0.18867924528301888</v>
      </c>
      <c r="K7" s="1">
        <f t="shared" si="8"/>
        <v>9.4339622641509441E-2</v>
      </c>
      <c r="L7" s="1">
        <f t="shared" si="9"/>
        <v>2.8301886792452831E-2</v>
      </c>
      <c r="M7">
        <f t="shared" si="2"/>
        <v>6700</v>
      </c>
      <c r="N7" s="7"/>
    </row>
    <row r="8" spans="1:14" x14ac:dyDescent="0.25">
      <c r="A8">
        <f t="shared" si="10"/>
        <v>7</v>
      </c>
      <c r="B8" s="1">
        <v>150000</v>
      </c>
      <c r="C8" s="1">
        <v>30000</v>
      </c>
      <c r="D8">
        <f t="shared" si="1"/>
        <v>1.07</v>
      </c>
      <c r="E8" s="1">
        <f t="shared" si="0"/>
        <v>10700</v>
      </c>
      <c r="F8" s="1">
        <f t="shared" si="3"/>
        <v>2.8037383177570092</v>
      </c>
      <c r="G8" s="1">
        <f t="shared" si="4"/>
        <v>1.4018691588785046</v>
      </c>
      <c r="H8" s="1">
        <f t="shared" si="5"/>
        <v>0.56074766355140182</v>
      </c>
      <c r="I8" s="1">
        <f t="shared" si="6"/>
        <v>0.28037383177570091</v>
      </c>
      <c r="J8" s="1">
        <f t="shared" si="7"/>
        <v>0.18691588785046728</v>
      </c>
      <c r="K8" s="1">
        <f t="shared" si="8"/>
        <v>9.3457943925233641E-2</v>
      </c>
      <c r="L8" s="1">
        <f t="shared" si="9"/>
        <v>2.8037383177570093E-2</v>
      </c>
      <c r="M8">
        <f t="shared" si="2"/>
        <v>6800</v>
      </c>
      <c r="N8" s="7"/>
    </row>
    <row r="9" spans="1:14" x14ac:dyDescent="0.25">
      <c r="A9">
        <f t="shared" si="10"/>
        <v>8</v>
      </c>
      <c r="B9" s="1">
        <v>180000</v>
      </c>
      <c r="C9" s="1">
        <v>30000</v>
      </c>
      <c r="D9">
        <f t="shared" si="1"/>
        <v>1.08</v>
      </c>
      <c r="E9" s="1">
        <f t="shared" si="0"/>
        <v>10800</v>
      </c>
      <c r="F9" s="1">
        <f t="shared" si="3"/>
        <v>2.7777777777777777</v>
      </c>
      <c r="G9" s="1">
        <f t="shared" si="4"/>
        <v>1.3888888888888888</v>
      </c>
      <c r="H9" s="1">
        <f t="shared" si="5"/>
        <v>0.55555555555555558</v>
      </c>
      <c r="I9" s="1">
        <f t="shared" si="6"/>
        <v>0.27777777777777779</v>
      </c>
      <c r="J9" s="1">
        <f t="shared" si="7"/>
        <v>0.18518518518518517</v>
      </c>
      <c r="K9" s="1">
        <f t="shared" si="8"/>
        <v>9.2592592592592587E-2</v>
      </c>
      <c r="L9" s="1">
        <f t="shared" si="9"/>
        <v>2.7777777777777776E-2</v>
      </c>
      <c r="M9">
        <f t="shared" si="2"/>
        <v>6900</v>
      </c>
      <c r="N9" s="7"/>
    </row>
    <row r="10" spans="1:14" x14ac:dyDescent="0.25">
      <c r="A10">
        <f t="shared" si="10"/>
        <v>9</v>
      </c>
      <c r="B10" s="1">
        <v>210000</v>
      </c>
      <c r="C10" s="1">
        <v>30000</v>
      </c>
      <c r="D10">
        <f t="shared" si="1"/>
        <v>1.0900000000000001</v>
      </c>
      <c r="E10" s="1">
        <f t="shared" si="0"/>
        <v>10900</v>
      </c>
      <c r="F10" s="1">
        <f t="shared" si="3"/>
        <v>3.669724770642202</v>
      </c>
      <c r="G10" s="1">
        <f t="shared" si="4"/>
        <v>1.834862385321101</v>
      </c>
      <c r="H10" s="1">
        <f t="shared" si="5"/>
        <v>0.73394495412844041</v>
      </c>
      <c r="I10" s="1">
        <f t="shared" si="6"/>
        <v>0.3669724770642202</v>
      </c>
      <c r="J10" s="1">
        <f t="shared" si="7"/>
        <v>0.24464831804281345</v>
      </c>
      <c r="K10" s="1">
        <f t="shared" si="8"/>
        <v>0.12232415902140673</v>
      </c>
      <c r="L10" s="1">
        <f t="shared" si="9"/>
        <v>3.669724770642202E-2</v>
      </c>
      <c r="M10">
        <f t="shared" si="2"/>
        <v>6900</v>
      </c>
      <c r="N10" s="7"/>
    </row>
    <row r="11" spans="1:14" x14ac:dyDescent="0.25">
      <c r="A11">
        <f t="shared" si="10"/>
        <v>10</v>
      </c>
      <c r="B11" s="1">
        <v>250000</v>
      </c>
      <c r="C11" s="1">
        <v>40000</v>
      </c>
      <c r="D11">
        <f t="shared" si="1"/>
        <v>1.1000000000000001</v>
      </c>
      <c r="E11" s="1">
        <f t="shared" si="0"/>
        <v>11000</v>
      </c>
      <c r="F11" s="1">
        <f t="shared" si="3"/>
        <v>3.6363636363636362</v>
      </c>
      <c r="G11" s="1">
        <f t="shared" si="4"/>
        <v>1.8181818181818181</v>
      </c>
      <c r="H11" s="1">
        <f t="shared" si="5"/>
        <v>0.72727272727272729</v>
      </c>
      <c r="I11" s="1">
        <f t="shared" si="6"/>
        <v>0.36363636363636365</v>
      </c>
      <c r="J11" s="1">
        <f t="shared" si="7"/>
        <v>0.24242424242424243</v>
      </c>
      <c r="K11" s="1">
        <f t="shared" si="8"/>
        <v>0.12121212121212122</v>
      </c>
      <c r="L11" s="1">
        <f t="shared" si="9"/>
        <v>3.6363636363636362E-2</v>
      </c>
      <c r="M11">
        <f t="shared" si="2"/>
        <v>7100</v>
      </c>
      <c r="N11" s="7"/>
    </row>
    <row r="12" spans="1:14" x14ac:dyDescent="0.25">
      <c r="A12">
        <f t="shared" si="10"/>
        <v>11</v>
      </c>
      <c r="B12" s="1">
        <v>290000</v>
      </c>
      <c r="C12" s="1">
        <v>40000</v>
      </c>
      <c r="D12">
        <f t="shared" si="1"/>
        <v>1.1200000000000001</v>
      </c>
      <c r="E12" s="1">
        <f t="shared" si="0"/>
        <v>11200.000000000002</v>
      </c>
      <c r="F12" s="1">
        <f t="shared" si="3"/>
        <v>3.5714285714285707</v>
      </c>
      <c r="G12" s="1">
        <f t="shared" si="4"/>
        <v>1.7857142857142854</v>
      </c>
      <c r="H12" s="1">
        <f t="shared" si="5"/>
        <v>0.71428571428571419</v>
      </c>
      <c r="I12" s="1">
        <f t="shared" si="6"/>
        <v>0.3571428571428571</v>
      </c>
      <c r="J12" s="1">
        <f t="shared" si="7"/>
        <v>0.23809523809523805</v>
      </c>
      <c r="K12" s="1">
        <f t="shared" si="8"/>
        <v>0.11904761904761903</v>
      </c>
      <c r="L12" s="1">
        <f t="shared" si="9"/>
        <v>3.5714285714285705E-2</v>
      </c>
      <c r="M12">
        <f t="shared" si="2"/>
        <v>7100</v>
      </c>
      <c r="N12" s="7"/>
    </row>
    <row r="13" spans="1:14" x14ac:dyDescent="0.25">
      <c r="A13">
        <f t="shared" si="10"/>
        <v>12</v>
      </c>
      <c r="B13" s="1">
        <v>330000</v>
      </c>
      <c r="C13" s="1">
        <v>40000</v>
      </c>
      <c r="D13">
        <f t="shared" si="1"/>
        <v>1.1299999999999999</v>
      </c>
      <c r="E13" s="1">
        <f t="shared" si="0"/>
        <v>11299.999999999998</v>
      </c>
      <c r="F13" s="1">
        <f t="shared" si="3"/>
        <v>4.4247787610619476</v>
      </c>
      <c r="G13" s="1">
        <f t="shared" si="4"/>
        <v>2.2123893805309738</v>
      </c>
      <c r="H13" s="1">
        <f t="shared" si="5"/>
        <v>0.88495575221238953</v>
      </c>
      <c r="I13" s="1">
        <f t="shared" si="6"/>
        <v>0.44247787610619477</v>
      </c>
      <c r="J13" s="1">
        <f t="shared" si="7"/>
        <v>0.29498525073746318</v>
      </c>
      <c r="K13" s="1">
        <f t="shared" si="8"/>
        <v>0.14749262536873159</v>
      </c>
      <c r="L13" s="1">
        <f t="shared" si="9"/>
        <v>4.4247787610619475E-2</v>
      </c>
      <c r="M13">
        <f t="shared" si="2"/>
        <v>7200</v>
      </c>
      <c r="N13" s="7"/>
    </row>
    <row r="14" spans="1:14" x14ac:dyDescent="0.25">
      <c r="A14">
        <f t="shared" si="10"/>
        <v>13</v>
      </c>
      <c r="B14" s="1">
        <v>380000</v>
      </c>
      <c r="C14" s="1">
        <v>50000</v>
      </c>
      <c r="D14">
        <f t="shared" si="1"/>
        <v>1.1399999999999999</v>
      </c>
      <c r="E14" s="1">
        <f t="shared" si="0"/>
        <v>11399.999999999998</v>
      </c>
      <c r="F14" s="1">
        <f t="shared" si="3"/>
        <v>4.3859649122807021</v>
      </c>
      <c r="G14" s="1">
        <f t="shared" si="4"/>
        <v>2.192982456140351</v>
      </c>
      <c r="H14" s="1">
        <f t="shared" si="5"/>
        <v>0.87719298245614041</v>
      </c>
      <c r="I14" s="1">
        <f t="shared" si="6"/>
        <v>0.43859649122807021</v>
      </c>
      <c r="J14" s="1">
        <f t="shared" si="7"/>
        <v>0.29239766081871349</v>
      </c>
      <c r="K14" s="1">
        <f t="shared" si="8"/>
        <v>0.14619883040935674</v>
      </c>
      <c r="L14" s="1">
        <f t="shared" si="9"/>
        <v>4.3859649122807029E-2</v>
      </c>
      <c r="M14">
        <f t="shared" si="2"/>
        <v>7200</v>
      </c>
      <c r="N14" s="7"/>
    </row>
    <row r="15" spans="1:14" x14ac:dyDescent="0.25">
      <c r="A15">
        <f t="shared" si="10"/>
        <v>14</v>
      </c>
      <c r="B15" s="1">
        <v>430000</v>
      </c>
      <c r="C15" s="1">
        <v>50000</v>
      </c>
      <c r="D15">
        <f t="shared" si="1"/>
        <v>1.1499999999999999</v>
      </c>
      <c r="E15" s="1">
        <f t="shared" si="0"/>
        <v>11500</v>
      </c>
      <c r="F15" s="1">
        <f t="shared" si="3"/>
        <v>4.3478260869565215</v>
      </c>
      <c r="G15" s="1">
        <f t="shared" si="4"/>
        <v>2.1739130434782608</v>
      </c>
      <c r="H15" s="1">
        <f t="shared" si="5"/>
        <v>0.86956521739130432</v>
      </c>
      <c r="I15" s="1">
        <f t="shared" si="6"/>
        <v>0.43478260869565216</v>
      </c>
      <c r="J15" s="1">
        <f t="shared" si="7"/>
        <v>0.28985507246376813</v>
      </c>
      <c r="K15" s="1">
        <f t="shared" si="8"/>
        <v>0.14492753623188406</v>
      </c>
      <c r="L15" s="1">
        <f t="shared" si="9"/>
        <v>4.3478260869565216E-2</v>
      </c>
      <c r="M15">
        <f t="shared" si="2"/>
        <v>7300</v>
      </c>
      <c r="N15" s="7"/>
    </row>
    <row r="16" spans="1:14" x14ac:dyDescent="0.25">
      <c r="A16">
        <f t="shared" si="10"/>
        <v>15</v>
      </c>
      <c r="B16" s="1">
        <v>480000</v>
      </c>
      <c r="C16" s="1">
        <v>50000</v>
      </c>
      <c r="D16">
        <f t="shared" si="1"/>
        <v>1.1599999999999999</v>
      </c>
      <c r="E16" s="1">
        <f t="shared" si="0"/>
        <v>11600</v>
      </c>
      <c r="F16" s="1">
        <f t="shared" si="3"/>
        <v>5.1724137931034484</v>
      </c>
      <c r="G16" s="1">
        <f t="shared" si="4"/>
        <v>2.5862068965517242</v>
      </c>
      <c r="H16" s="1">
        <f t="shared" si="5"/>
        <v>1.0344827586206897</v>
      </c>
      <c r="I16" s="1">
        <f t="shared" si="6"/>
        <v>0.51724137931034486</v>
      </c>
      <c r="J16" s="1">
        <f t="shared" si="7"/>
        <v>0.34482758620689657</v>
      </c>
      <c r="K16" s="1">
        <f t="shared" si="8"/>
        <v>0.17241379310344829</v>
      </c>
      <c r="L16" s="1">
        <f t="shared" si="9"/>
        <v>5.1724137931034482E-2</v>
      </c>
      <c r="M16">
        <f t="shared" si="2"/>
        <v>7400</v>
      </c>
      <c r="N16" s="7"/>
    </row>
    <row r="17" spans="1:14" x14ac:dyDescent="0.25">
      <c r="A17">
        <f t="shared" si="10"/>
        <v>16</v>
      </c>
      <c r="B17" s="1">
        <v>540000</v>
      </c>
      <c r="C17" s="1">
        <v>60000</v>
      </c>
      <c r="D17">
        <f t="shared" si="1"/>
        <v>1.17</v>
      </c>
      <c r="E17" s="1">
        <f t="shared" si="0"/>
        <v>11700</v>
      </c>
      <c r="F17" s="1">
        <f t="shared" si="3"/>
        <v>5.1282051282051286</v>
      </c>
      <c r="G17" s="1">
        <f t="shared" si="4"/>
        <v>2.5641025641025643</v>
      </c>
      <c r="H17" s="1">
        <f t="shared" si="5"/>
        <v>1.0256410256410255</v>
      </c>
      <c r="I17" s="1">
        <f t="shared" si="6"/>
        <v>0.51282051282051277</v>
      </c>
      <c r="J17" s="1">
        <f t="shared" si="7"/>
        <v>0.34188034188034189</v>
      </c>
      <c r="K17" s="1">
        <f t="shared" si="8"/>
        <v>0.17094017094017094</v>
      </c>
      <c r="L17" s="1">
        <f t="shared" si="9"/>
        <v>5.128205128205128E-2</v>
      </c>
      <c r="M17">
        <f t="shared" si="2"/>
        <v>7400</v>
      </c>
      <c r="N17" s="7"/>
    </row>
    <row r="18" spans="1:14" x14ac:dyDescent="0.25">
      <c r="A18">
        <f t="shared" si="10"/>
        <v>17</v>
      </c>
      <c r="B18" s="1">
        <v>600000</v>
      </c>
      <c r="C18" s="1">
        <v>60000</v>
      </c>
      <c r="D18">
        <f t="shared" si="1"/>
        <v>1.18</v>
      </c>
      <c r="E18" s="1">
        <f t="shared" si="0"/>
        <v>11800</v>
      </c>
      <c r="F18" s="1">
        <f t="shared" si="3"/>
        <v>5.9322033898305087</v>
      </c>
      <c r="G18" s="1">
        <f t="shared" si="4"/>
        <v>2.9661016949152543</v>
      </c>
      <c r="H18" s="1">
        <f t="shared" si="5"/>
        <v>1.1864406779661016</v>
      </c>
      <c r="I18" s="1">
        <f t="shared" si="6"/>
        <v>0.59322033898305082</v>
      </c>
      <c r="J18" s="1">
        <f t="shared" si="7"/>
        <v>0.39548022598870058</v>
      </c>
      <c r="K18" s="1">
        <f t="shared" si="8"/>
        <v>0.19774011299435029</v>
      </c>
      <c r="L18" s="1">
        <f t="shared" si="9"/>
        <v>5.9322033898305086E-2</v>
      </c>
      <c r="M18">
        <f t="shared" si="2"/>
        <v>7600</v>
      </c>
      <c r="N18" s="7"/>
    </row>
    <row r="19" spans="1:14" x14ac:dyDescent="0.25">
      <c r="A19">
        <f t="shared" si="10"/>
        <v>18</v>
      </c>
      <c r="B19" s="1">
        <v>670000</v>
      </c>
      <c r="C19" s="1">
        <v>70000</v>
      </c>
      <c r="D19">
        <f t="shared" si="1"/>
        <v>1.2</v>
      </c>
      <c r="E19" s="1">
        <f t="shared" si="0"/>
        <v>12000</v>
      </c>
      <c r="F19" s="1">
        <f t="shared" si="3"/>
        <v>5.833333333333333</v>
      </c>
      <c r="G19" s="1">
        <f t="shared" si="4"/>
        <v>2.9166666666666665</v>
      </c>
      <c r="H19" s="1">
        <f t="shared" si="5"/>
        <v>1.1666666666666667</v>
      </c>
      <c r="I19" s="1">
        <f t="shared" si="6"/>
        <v>0.58333333333333337</v>
      </c>
      <c r="J19" s="1">
        <f t="shared" si="7"/>
        <v>0.3888888888888889</v>
      </c>
      <c r="K19" s="1">
        <f t="shared" si="8"/>
        <v>0.19444444444444445</v>
      </c>
      <c r="L19" s="1">
        <f t="shared" si="9"/>
        <v>5.8333333333333334E-2</v>
      </c>
      <c r="M19">
        <f t="shared" si="2"/>
        <v>7600</v>
      </c>
      <c r="N19" s="7"/>
    </row>
    <row r="20" spans="1:14" x14ac:dyDescent="0.25">
      <c r="A20">
        <f t="shared" si="10"/>
        <v>19</v>
      </c>
      <c r="B20" s="1">
        <v>740000</v>
      </c>
      <c r="C20" s="1">
        <v>70000</v>
      </c>
      <c r="D20">
        <f t="shared" si="1"/>
        <v>1.21</v>
      </c>
      <c r="E20" s="1">
        <f t="shared" si="0"/>
        <v>12100</v>
      </c>
      <c r="F20" s="1">
        <f t="shared" si="3"/>
        <v>6.6115702479338845</v>
      </c>
      <c r="G20" s="1">
        <f t="shared" si="4"/>
        <v>3.3057851239669422</v>
      </c>
      <c r="H20" s="1">
        <f t="shared" si="5"/>
        <v>1.3223140495867769</v>
      </c>
      <c r="I20" s="1">
        <f t="shared" si="6"/>
        <v>0.66115702479338845</v>
      </c>
      <c r="J20" s="1">
        <f t="shared" si="7"/>
        <v>0.44077134986225897</v>
      </c>
      <c r="K20" s="1">
        <f t="shared" si="8"/>
        <v>0.22038567493112948</v>
      </c>
      <c r="L20" s="1">
        <f t="shared" si="9"/>
        <v>6.6115702479338845E-2</v>
      </c>
      <c r="M20">
        <f t="shared" si="2"/>
        <v>7700</v>
      </c>
      <c r="N20" s="7"/>
    </row>
    <row r="21" spans="1:14" x14ac:dyDescent="0.25">
      <c r="A21">
        <f t="shared" si="10"/>
        <v>20</v>
      </c>
      <c r="B21" s="1">
        <v>820000</v>
      </c>
      <c r="C21" s="1">
        <v>80000</v>
      </c>
      <c r="D21">
        <f t="shared" si="1"/>
        <v>1.22</v>
      </c>
      <c r="E21" s="1">
        <f t="shared" si="0"/>
        <v>12200</v>
      </c>
      <c r="F21" s="1">
        <f t="shared" si="3"/>
        <v>7.3770491803278686</v>
      </c>
      <c r="G21" s="1">
        <f t="shared" si="4"/>
        <v>3.6885245901639343</v>
      </c>
      <c r="H21" s="1">
        <f t="shared" si="5"/>
        <v>1.4754098360655739</v>
      </c>
      <c r="I21" s="1">
        <f t="shared" si="6"/>
        <v>0.73770491803278693</v>
      </c>
      <c r="J21" s="1">
        <f t="shared" si="7"/>
        <v>0.49180327868852458</v>
      </c>
      <c r="K21" s="1">
        <f t="shared" si="8"/>
        <v>0.24590163934426229</v>
      </c>
      <c r="L21" s="1">
        <f t="shared" si="9"/>
        <v>7.3770491803278687E-2</v>
      </c>
      <c r="M21">
        <f t="shared" si="2"/>
        <v>7700</v>
      </c>
      <c r="N21" s="7"/>
    </row>
    <row r="22" spans="1:14" x14ac:dyDescent="0.25">
      <c r="A22">
        <f t="shared" si="10"/>
        <v>21</v>
      </c>
      <c r="B22" s="1">
        <v>910000</v>
      </c>
      <c r="C22" s="1">
        <v>90000</v>
      </c>
      <c r="D22">
        <f t="shared" si="1"/>
        <v>1.23</v>
      </c>
      <c r="E22" s="1">
        <f t="shared" si="0"/>
        <v>12300</v>
      </c>
      <c r="F22" s="1">
        <f t="shared" si="3"/>
        <v>7.3170731707317076</v>
      </c>
      <c r="G22" s="1">
        <f t="shared" si="4"/>
        <v>3.6585365853658538</v>
      </c>
      <c r="H22" s="1">
        <f t="shared" si="5"/>
        <v>1.4634146341463414</v>
      </c>
      <c r="I22" s="1">
        <f t="shared" si="6"/>
        <v>0.73170731707317072</v>
      </c>
      <c r="J22" s="1">
        <f t="shared" si="7"/>
        <v>0.48780487804878048</v>
      </c>
      <c r="K22" s="1">
        <f t="shared" si="8"/>
        <v>0.24390243902439024</v>
      </c>
      <c r="L22" s="1">
        <f t="shared" si="9"/>
        <v>7.3170731707317069E-2</v>
      </c>
      <c r="M22">
        <f t="shared" si="2"/>
        <v>7800</v>
      </c>
      <c r="N22" s="7"/>
    </row>
    <row r="23" spans="1:14" x14ac:dyDescent="0.25">
      <c r="A23">
        <f t="shared" si="10"/>
        <v>22</v>
      </c>
      <c r="B23" s="1">
        <v>1000000</v>
      </c>
      <c r="C23" s="1">
        <v>90000</v>
      </c>
      <c r="D23">
        <f t="shared" si="1"/>
        <v>1.24</v>
      </c>
      <c r="E23" s="1">
        <f t="shared" si="0"/>
        <v>12400</v>
      </c>
      <c r="F23" s="1">
        <f t="shared" si="3"/>
        <v>8.064516129032258</v>
      </c>
      <c r="G23" s="1">
        <f t="shared" si="4"/>
        <v>4.032258064516129</v>
      </c>
      <c r="H23" s="1">
        <f t="shared" si="5"/>
        <v>1.6129032258064515</v>
      </c>
      <c r="I23" s="1">
        <f t="shared" si="6"/>
        <v>0.80645161290322576</v>
      </c>
      <c r="J23" s="1">
        <f t="shared" si="7"/>
        <v>0.5376344086021505</v>
      </c>
      <c r="K23" s="1">
        <f t="shared" si="8"/>
        <v>0.26881720430107525</v>
      </c>
      <c r="L23" s="1">
        <f t="shared" si="9"/>
        <v>8.0645161290322578E-2</v>
      </c>
      <c r="M23">
        <f t="shared" si="2"/>
        <v>7900</v>
      </c>
      <c r="N23" s="7"/>
    </row>
    <row r="24" spans="1:14" x14ac:dyDescent="0.25">
      <c r="A24">
        <f t="shared" si="10"/>
        <v>23</v>
      </c>
      <c r="B24" s="1">
        <v>1100000</v>
      </c>
      <c r="C24" s="1">
        <v>100000</v>
      </c>
      <c r="D24">
        <f t="shared" si="1"/>
        <v>1.26</v>
      </c>
      <c r="E24" s="1">
        <f t="shared" si="0"/>
        <v>12600</v>
      </c>
      <c r="F24" s="1">
        <f t="shared" si="3"/>
        <v>7.9365079365079367</v>
      </c>
      <c r="G24" s="1">
        <f t="shared" si="4"/>
        <v>3.9682539682539684</v>
      </c>
      <c r="H24" s="1">
        <f t="shared" si="5"/>
        <v>1.5873015873015872</v>
      </c>
      <c r="I24" s="1">
        <f t="shared" si="6"/>
        <v>0.79365079365079361</v>
      </c>
      <c r="J24" s="1">
        <f t="shared" si="7"/>
        <v>0.52910052910052907</v>
      </c>
      <c r="K24" s="1">
        <f t="shared" si="8"/>
        <v>0.26455026455026454</v>
      </c>
      <c r="L24" s="1">
        <f t="shared" si="9"/>
        <v>7.9365079365079361E-2</v>
      </c>
      <c r="M24">
        <f t="shared" si="2"/>
        <v>8000</v>
      </c>
      <c r="N24" s="7"/>
    </row>
    <row r="25" spans="1:14" x14ac:dyDescent="0.25">
      <c r="A25">
        <f t="shared" si="10"/>
        <v>24</v>
      </c>
      <c r="B25" s="1">
        <v>1200000</v>
      </c>
      <c r="C25" s="1">
        <v>100000</v>
      </c>
      <c r="D25">
        <f t="shared" si="1"/>
        <v>1.27</v>
      </c>
      <c r="E25" s="1">
        <f t="shared" si="0"/>
        <v>12700</v>
      </c>
      <c r="F25" s="1">
        <f t="shared" si="3"/>
        <v>7.8740157480314963</v>
      </c>
      <c r="G25" s="1">
        <f t="shared" si="4"/>
        <v>3.9370078740157481</v>
      </c>
      <c r="H25" s="1">
        <f t="shared" si="5"/>
        <v>1.5748031496062993</v>
      </c>
      <c r="I25" s="1">
        <f t="shared" si="6"/>
        <v>0.78740157480314965</v>
      </c>
      <c r="J25" s="1">
        <f t="shared" si="7"/>
        <v>0.52493438320209973</v>
      </c>
      <c r="K25" s="1">
        <f t="shared" si="8"/>
        <v>0.26246719160104987</v>
      </c>
      <c r="L25" s="1">
        <f t="shared" si="9"/>
        <v>7.874015748031496E-2</v>
      </c>
      <c r="M25">
        <f t="shared" si="2"/>
        <v>8100</v>
      </c>
      <c r="N25" s="7"/>
    </row>
    <row r="26" spans="1:14" x14ac:dyDescent="0.25">
      <c r="A26">
        <f t="shared" si="10"/>
        <v>25</v>
      </c>
      <c r="B26" s="1">
        <v>1300000</v>
      </c>
      <c r="C26" s="1">
        <v>100000</v>
      </c>
      <c r="D26">
        <f t="shared" si="1"/>
        <v>1.28</v>
      </c>
      <c r="E26" s="1">
        <f t="shared" si="0"/>
        <v>12800</v>
      </c>
      <c r="F26" s="1">
        <f t="shared" si="3"/>
        <v>7.8125</v>
      </c>
      <c r="G26" s="1">
        <f t="shared" si="4"/>
        <v>3.90625</v>
      </c>
      <c r="H26" s="1">
        <f t="shared" si="5"/>
        <v>1.5625</v>
      </c>
      <c r="I26" s="1">
        <f t="shared" si="6"/>
        <v>0.78125</v>
      </c>
      <c r="J26" s="1">
        <f t="shared" si="7"/>
        <v>0.52083333333333337</v>
      </c>
      <c r="K26" s="1">
        <f t="shared" si="8"/>
        <v>0.26041666666666669</v>
      </c>
      <c r="L26" s="1">
        <f t="shared" si="9"/>
        <v>7.8125E-2</v>
      </c>
      <c r="M26">
        <f t="shared" si="2"/>
        <v>8200</v>
      </c>
      <c r="N26" s="7"/>
    </row>
    <row r="27" spans="1:14" x14ac:dyDescent="0.25">
      <c r="A27">
        <f t="shared" si="10"/>
        <v>26</v>
      </c>
      <c r="B27" s="1">
        <v>1400000</v>
      </c>
      <c r="C27" s="1">
        <v>100000</v>
      </c>
      <c r="D27">
        <f t="shared" si="1"/>
        <v>1.3</v>
      </c>
      <c r="E27" s="1">
        <f t="shared" si="0"/>
        <v>13000</v>
      </c>
      <c r="F27" s="1">
        <f t="shared" si="3"/>
        <v>7.6923076923076925</v>
      </c>
      <c r="G27" s="1">
        <f t="shared" si="4"/>
        <v>3.8461538461538463</v>
      </c>
      <c r="H27" s="1">
        <f t="shared" si="5"/>
        <v>1.5384615384615385</v>
      </c>
      <c r="I27" s="1">
        <f t="shared" si="6"/>
        <v>0.76923076923076927</v>
      </c>
      <c r="J27" s="1">
        <f t="shared" si="7"/>
        <v>0.51282051282051277</v>
      </c>
      <c r="K27" s="1">
        <f t="shared" si="8"/>
        <v>0.25641025641025639</v>
      </c>
      <c r="L27" s="1">
        <f t="shared" si="9"/>
        <v>7.6923076923076927E-2</v>
      </c>
      <c r="M27">
        <f t="shared" si="2"/>
        <v>8300</v>
      </c>
      <c r="N27" s="7"/>
    </row>
    <row r="28" spans="1:14" x14ac:dyDescent="0.25">
      <c r="A28">
        <f t="shared" si="10"/>
        <v>27</v>
      </c>
      <c r="B28" s="1">
        <v>1500000</v>
      </c>
      <c r="C28" s="1">
        <v>100000</v>
      </c>
      <c r="D28">
        <f t="shared" si="1"/>
        <v>1.31</v>
      </c>
      <c r="E28" s="1">
        <f t="shared" si="0"/>
        <v>13100</v>
      </c>
      <c r="F28" s="1">
        <f t="shared" si="3"/>
        <v>7.6335877862595423</v>
      </c>
      <c r="G28" s="1">
        <f t="shared" si="4"/>
        <v>3.8167938931297711</v>
      </c>
      <c r="H28" s="1">
        <f t="shared" si="5"/>
        <v>1.5267175572519085</v>
      </c>
      <c r="I28" s="1">
        <f t="shared" si="6"/>
        <v>0.76335877862595425</v>
      </c>
      <c r="J28" s="1">
        <f t="shared" si="7"/>
        <v>0.5089058524173028</v>
      </c>
      <c r="K28" s="1">
        <f t="shared" si="8"/>
        <v>0.2544529262086514</v>
      </c>
      <c r="L28" s="1">
        <f t="shared" si="9"/>
        <v>7.6335877862595422E-2</v>
      </c>
      <c r="M28">
        <f t="shared" si="2"/>
        <v>8300</v>
      </c>
      <c r="N28" s="7"/>
    </row>
    <row r="29" spans="1:14" x14ac:dyDescent="0.25">
      <c r="A29">
        <f t="shared" si="10"/>
        <v>28</v>
      </c>
      <c r="B29" s="1">
        <v>1600000</v>
      </c>
      <c r="C29" s="1">
        <v>100000</v>
      </c>
      <c r="D29">
        <f t="shared" si="1"/>
        <v>1.32</v>
      </c>
      <c r="E29" s="1">
        <f t="shared" si="0"/>
        <v>13200</v>
      </c>
      <c r="F29" s="1">
        <f t="shared" si="3"/>
        <v>15.151515151515152</v>
      </c>
      <c r="G29" s="1">
        <f t="shared" si="4"/>
        <v>7.5757575757575761</v>
      </c>
      <c r="H29" s="1">
        <f t="shared" si="5"/>
        <v>3.0303030303030303</v>
      </c>
      <c r="I29" s="1">
        <f t="shared" si="6"/>
        <v>1.5151515151515151</v>
      </c>
      <c r="J29" s="1">
        <f t="shared" si="7"/>
        <v>1.0101010101010102</v>
      </c>
      <c r="K29" s="1">
        <f t="shared" si="8"/>
        <v>0.50505050505050508</v>
      </c>
      <c r="L29" s="1">
        <f t="shared" si="9"/>
        <v>0.15151515151515152</v>
      </c>
      <c r="M29">
        <f t="shared" si="2"/>
        <v>8400</v>
      </c>
      <c r="N29" s="7"/>
    </row>
    <row r="30" spans="1:14" x14ac:dyDescent="0.25">
      <c r="A30">
        <f t="shared" si="10"/>
        <v>29</v>
      </c>
      <c r="B30" s="1">
        <v>1800000</v>
      </c>
      <c r="C30" s="1">
        <v>200000</v>
      </c>
      <c r="D30">
        <f t="shared" si="1"/>
        <v>1.33</v>
      </c>
      <c r="E30" s="1">
        <f t="shared" si="0"/>
        <v>13300</v>
      </c>
      <c r="F30" s="1">
        <f t="shared" si="3"/>
        <v>15.037593984962406</v>
      </c>
      <c r="G30" s="1">
        <f t="shared" si="4"/>
        <v>7.518796992481203</v>
      </c>
      <c r="H30" s="1">
        <f t="shared" si="5"/>
        <v>3.007518796992481</v>
      </c>
      <c r="I30" s="1">
        <f t="shared" si="6"/>
        <v>1.5037593984962405</v>
      </c>
      <c r="J30" s="1">
        <f t="shared" si="7"/>
        <v>1.0025062656641603</v>
      </c>
      <c r="K30" s="1">
        <f t="shared" si="8"/>
        <v>0.50125313283208017</v>
      </c>
      <c r="L30" s="1">
        <f t="shared" si="9"/>
        <v>0.15037593984962405</v>
      </c>
      <c r="M30">
        <f t="shared" si="2"/>
        <v>8500</v>
      </c>
      <c r="N30" s="7"/>
    </row>
    <row r="31" spans="1:14" x14ac:dyDescent="0.25">
      <c r="A31">
        <f t="shared" si="10"/>
        <v>30</v>
      </c>
      <c r="B31" s="1">
        <v>2000000</v>
      </c>
      <c r="C31" s="1">
        <v>200000</v>
      </c>
      <c r="D31">
        <f t="shared" si="1"/>
        <v>1.35</v>
      </c>
      <c r="E31" s="1">
        <f t="shared" si="0"/>
        <v>13500</v>
      </c>
      <c r="F31" s="1">
        <f t="shared" si="3"/>
        <v>14.814814814814815</v>
      </c>
      <c r="G31" s="1">
        <f t="shared" si="4"/>
        <v>7.4074074074074074</v>
      </c>
      <c r="H31" s="1">
        <f t="shared" si="5"/>
        <v>2.9629629629629628</v>
      </c>
      <c r="I31" s="1">
        <f t="shared" si="6"/>
        <v>1.4814814814814814</v>
      </c>
      <c r="J31" s="1">
        <f t="shared" si="7"/>
        <v>0.98765432098765427</v>
      </c>
      <c r="K31" s="1">
        <f t="shared" si="8"/>
        <v>0.49382716049382713</v>
      </c>
      <c r="L31" s="1">
        <f t="shared" si="9"/>
        <v>0.14814814814814814</v>
      </c>
      <c r="M31">
        <f t="shared" si="2"/>
        <v>8600</v>
      </c>
      <c r="N31" s="7"/>
    </row>
    <row r="32" spans="1:14" x14ac:dyDescent="0.25">
      <c r="A32">
        <f t="shared" si="10"/>
        <v>31</v>
      </c>
      <c r="B32" s="1">
        <v>2200000</v>
      </c>
      <c r="C32" s="1">
        <v>200000</v>
      </c>
      <c r="D32">
        <f t="shared" si="1"/>
        <v>1.36</v>
      </c>
      <c r="E32" s="1">
        <f t="shared" si="0"/>
        <v>13600.000000000002</v>
      </c>
      <c r="F32" s="1">
        <f t="shared" si="3"/>
        <v>14.705882352941174</v>
      </c>
      <c r="G32" s="1">
        <f t="shared" si="4"/>
        <v>7.352941176470587</v>
      </c>
      <c r="H32" s="1">
        <f t="shared" si="5"/>
        <v>2.9411764705882346</v>
      </c>
      <c r="I32" s="1">
        <f t="shared" si="6"/>
        <v>1.4705882352941173</v>
      </c>
      <c r="J32" s="1">
        <f t="shared" si="7"/>
        <v>0.98039215686274495</v>
      </c>
      <c r="K32" s="1">
        <f t="shared" si="8"/>
        <v>0.49019607843137247</v>
      </c>
      <c r="L32" s="1">
        <f t="shared" si="9"/>
        <v>0.14705882352941174</v>
      </c>
      <c r="M32">
        <f t="shared" si="2"/>
        <v>8600</v>
      </c>
      <c r="N32" s="7"/>
    </row>
    <row r="33" spans="1:14" x14ac:dyDescent="0.25">
      <c r="A33">
        <f t="shared" si="10"/>
        <v>32</v>
      </c>
      <c r="B33" s="1">
        <v>2400000</v>
      </c>
      <c r="C33" s="1">
        <v>200000</v>
      </c>
      <c r="D33">
        <f t="shared" si="1"/>
        <v>1.37</v>
      </c>
      <c r="E33" s="1">
        <f t="shared" si="0"/>
        <v>13700.000000000002</v>
      </c>
      <c r="F33" s="1">
        <f t="shared" si="3"/>
        <v>14.5985401459854</v>
      </c>
      <c r="G33" s="1">
        <f t="shared" si="4"/>
        <v>7.2992700729926998</v>
      </c>
      <c r="H33" s="1">
        <f t="shared" si="5"/>
        <v>2.9197080291970798</v>
      </c>
      <c r="I33" s="1">
        <f t="shared" si="6"/>
        <v>1.4598540145985399</v>
      </c>
      <c r="J33" s="1">
        <f t="shared" si="7"/>
        <v>0.97323600973235991</v>
      </c>
      <c r="K33" s="1">
        <f t="shared" si="8"/>
        <v>0.48661800486617995</v>
      </c>
      <c r="L33" s="1">
        <f t="shared" si="9"/>
        <v>0.145985401459854</v>
      </c>
      <c r="M33">
        <f t="shared" si="2"/>
        <v>8800</v>
      </c>
      <c r="N33" s="7"/>
    </row>
    <row r="34" spans="1:14" x14ac:dyDescent="0.25">
      <c r="A34">
        <f t="shared" si="10"/>
        <v>33</v>
      </c>
      <c r="B34" s="1">
        <v>2600000</v>
      </c>
      <c r="C34" s="1">
        <v>200000</v>
      </c>
      <c r="D34">
        <f t="shared" si="1"/>
        <v>1.39</v>
      </c>
      <c r="E34" s="1">
        <f t="shared" si="0"/>
        <v>13899.999999999998</v>
      </c>
      <c r="F34" s="1">
        <f t="shared" si="3"/>
        <v>14.388489208633095</v>
      </c>
      <c r="G34" s="1">
        <f t="shared" si="4"/>
        <v>7.1942446043165473</v>
      </c>
      <c r="H34" s="1">
        <f t="shared" si="5"/>
        <v>2.8776978417266195</v>
      </c>
      <c r="I34" s="1">
        <f t="shared" si="6"/>
        <v>1.4388489208633097</v>
      </c>
      <c r="J34" s="1">
        <f t="shared" si="7"/>
        <v>0.95923261390887304</v>
      </c>
      <c r="K34" s="1">
        <f t="shared" si="8"/>
        <v>0.47961630695443652</v>
      </c>
      <c r="L34" s="1">
        <f t="shared" si="9"/>
        <v>0.14388489208633096</v>
      </c>
      <c r="M34">
        <f t="shared" si="2"/>
        <v>8800</v>
      </c>
      <c r="N34" s="7"/>
    </row>
    <row r="35" spans="1:14" x14ac:dyDescent="0.25">
      <c r="A35">
        <f t="shared" si="10"/>
        <v>34</v>
      </c>
      <c r="B35" s="1">
        <v>2800000</v>
      </c>
      <c r="C35" s="1">
        <v>200000</v>
      </c>
      <c r="D35">
        <f t="shared" si="1"/>
        <v>1.4</v>
      </c>
      <c r="E35" s="1">
        <f t="shared" si="0"/>
        <v>14000</v>
      </c>
      <c r="F35" s="1">
        <f t="shared" si="3"/>
        <v>21.428571428571427</v>
      </c>
      <c r="G35" s="1">
        <f t="shared" si="4"/>
        <v>10.714285714285714</v>
      </c>
      <c r="H35" s="1">
        <f t="shared" si="5"/>
        <v>4.2857142857142856</v>
      </c>
      <c r="I35" s="1">
        <f t="shared" si="6"/>
        <v>2.1428571428571428</v>
      </c>
      <c r="J35" s="1">
        <f t="shared" si="7"/>
        <v>1.4285714285714286</v>
      </c>
      <c r="K35" s="1">
        <f t="shared" si="8"/>
        <v>0.7142857142857143</v>
      </c>
      <c r="L35" s="1">
        <f t="shared" si="9"/>
        <v>0.21428571428571427</v>
      </c>
      <c r="M35">
        <f t="shared" si="2"/>
        <v>8900</v>
      </c>
      <c r="N35" s="7"/>
    </row>
    <row r="36" spans="1:14" x14ac:dyDescent="0.25">
      <c r="A36">
        <f t="shared" si="10"/>
        <v>35</v>
      </c>
      <c r="B36" s="1">
        <v>3100000</v>
      </c>
      <c r="C36" s="1">
        <v>300000</v>
      </c>
      <c r="D36">
        <f t="shared" si="1"/>
        <v>1.42</v>
      </c>
      <c r="E36" s="1">
        <f t="shared" si="0"/>
        <v>14200</v>
      </c>
      <c r="F36" s="1">
        <f t="shared" si="3"/>
        <v>21.12676056338028</v>
      </c>
      <c r="G36" s="1">
        <f t="shared" si="4"/>
        <v>10.56338028169014</v>
      </c>
      <c r="H36" s="1">
        <f t="shared" si="5"/>
        <v>4.225352112676056</v>
      </c>
      <c r="I36" s="1">
        <f t="shared" si="6"/>
        <v>2.112676056338028</v>
      </c>
      <c r="J36" s="1">
        <f t="shared" si="7"/>
        <v>1.408450704225352</v>
      </c>
      <c r="K36" s="1">
        <f t="shared" si="8"/>
        <v>0.70422535211267601</v>
      </c>
      <c r="L36" s="1">
        <f t="shared" si="9"/>
        <v>0.21126760563380281</v>
      </c>
      <c r="M36">
        <f t="shared" si="2"/>
        <v>9000</v>
      </c>
      <c r="N36" s="7"/>
    </row>
    <row r="37" spans="1:14" x14ac:dyDescent="0.25">
      <c r="A37">
        <f t="shared" si="10"/>
        <v>36</v>
      </c>
      <c r="B37" s="1">
        <v>3400000</v>
      </c>
      <c r="C37" s="1">
        <v>300000</v>
      </c>
      <c r="D37">
        <f t="shared" si="1"/>
        <v>1.43</v>
      </c>
      <c r="E37" s="1">
        <f t="shared" si="0"/>
        <v>14300</v>
      </c>
      <c r="F37" s="1">
        <f t="shared" si="3"/>
        <v>20.97902097902098</v>
      </c>
      <c r="G37" s="1">
        <f t="shared" si="4"/>
        <v>10.48951048951049</v>
      </c>
      <c r="H37" s="1">
        <f t="shared" si="5"/>
        <v>4.1958041958041958</v>
      </c>
      <c r="I37" s="1">
        <f t="shared" si="6"/>
        <v>2.0979020979020979</v>
      </c>
      <c r="J37" s="1">
        <f t="shared" si="7"/>
        <v>1.3986013986013985</v>
      </c>
      <c r="K37" s="1">
        <f t="shared" si="8"/>
        <v>0.69930069930069927</v>
      </c>
      <c r="L37" s="1">
        <f t="shared" si="9"/>
        <v>0.20979020979020979</v>
      </c>
      <c r="M37">
        <f t="shared" si="2"/>
        <v>9100</v>
      </c>
      <c r="N37" s="7"/>
    </row>
    <row r="38" spans="1:14" x14ac:dyDescent="0.25">
      <c r="A38">
        <f t="shared" si="10"/>
        <v>37</v>
      </c>
      <c r="B38" s="1">
        <v>3700000</v>
      </c>
      <c r="C38" s="1">
        <v>300000</v>
      </c>
      <c r="D38">
        <f t="shared" si="1"/>
        <v>1.45</v>
      </c>
      <c r="E38" s="1">
        <f t="shared" si="0"/>
        <v>14500</v>
      </c>
      <c r="F38" s="1">
        <f t="shared" si="3"/>
        <v>20.689655172413794</v>
      </c>
      <c r="G38" s="1">
        <f t="shared" si="4"/>
        <v>10.344827586206897</v>
      </c>
      <c r="H38" s="1">
        <f t="shared" si="5"/>
        <v>4.1379310344827589</v>
      </c>
      <c r="I38" s="1">
        <f t="shared" si="6"/>
        <v>2.0689655172413794</v>
      </c>
      <c r="J38" s="1">
        <f t="shared" si="7"/>
        <v>1.3793103448275863</v>
      </c>
      <c r="K38" s="1">
        <f t="shared" si="8"/>
        <v>0.68965517241379315</v>
      </c>
      <c r="L38" s="1">
        <f t="shared" si="9"/>
        <v>0.20689655172413793</v>
      </c>
      <c r="M38">
        <f t="shared" si="2"/>
        <v>9200</v>
      </c>
      <c r="N38" s="7"/>
    </row>
    <row r="39" spans="1:14" x14ac:dyDescent="0.25">
      <c r="A39">
        <f t="shared" si="10"/>
        <v>38</v>
      </c>
      <c r="B39" s="1">
        <v>4000000</v>
      </c>
      <c r="C39" s="1">
        <v>300000</v>
      </c>
      <c r="D39">
        <f t="shared" si="1"/>
        <v>1.46</v>
      </c>
      <c r="E39" s="1">
        <f t="shared" si="0"/>
        <v>14600</v>
      </c>
      <c r="F39" s="1">
        <f t="shared" si="3"/>
        <v>20.547945205479451</v>
      </c>
      <c r="G39" s="1">
        <f t="shared" si="4"/>
        <v>10.273972602739725</v>
      </c>
      <c r="H39" s="1">
        <f t="shared" si="5"/>
        <v>4.1095890410958908</v>
      </c>
      <c r="I39" s="1">
        <f t="shared" si="6"/>
        <v>2.0547945205479454</v>
      </c>
      <c r="J39" s="1">
        <f t="shared" si="7"/>
        <v>1.3698630136986301</v>
      </c>
      <c r="K39" s="1">
        <f t="shared" si="8"/>
        <v>0.68493150684931503</v>
      </c>
      <c r="L39" s="1">
        <f t="shared" si="9"/>
        <v>0.20547945205479451</v>
      </c>
      <c r="M39">
        <f t="shared" si="2"/>
        <v>9300</v>
      </c>
      <c r="N39" s="7"/>
    </row>
    <row r="40" spans="1:14" x14ac:dyDescent="0.25">
      <c r="A40">
        <f t="shared" si="10"/>
        <v>39</v>
      </c>
      <c r="B40" s="1">
        <v>4300000</v>
      </c>
      <c r="C40" s="1">
        <v>300000</v>
      </c>
      <c r="D40">
        <f t="shared" si="1"/>
        <v>1.47</v>
      </c>
      <c r="E40" s="1">
        <f t="shared" si="0"/>
        <v>14700</v>
      </c>
      <c r="F40" s="1">
        <f t="shared" si="3"/>
        <v>27.210884353741495</v>
      </c>
      <c r="G40" s="1">
        <f t="shared" si="4"/>
        <v>13.605442176870747</v>
      </c>
      <c r="H40" s="1">
        <f t="shared" si="5"/>
        <v>5.4421768707482991</v>
      </c>
      <c r="I40" s="1">
        <f t="shared" si="6"/>
        <v>2.7210884353741496</v>
      </c>
      <c r="J40" s="1">
        <f t="shared" si="7"/>
        <v>1.8140589569160999</v>
      </c>
      <c r="K40" s="1">
        <f t="shared" si="8"/>
        <v>0.90702947845804993</v>
      </c>
      <c r="L40" s="1">
        <f t="shared" si="9"/>
        <v>0.27210884353741499</v>
      </c>
      <c r="M40">
        <f t="shared" si="2"/>
        <v>9400</v>
      </c>
      <c r="N40" s="7"/>
    </row>
    <row r="41" spans="1:14" x14ac:dyDescent="0.25">
      <c r="A41">
        <f t="shared" si="10"/>
        <v>40</v>
      </c>
      <c r="B41" s="1">
        <v>4700000</v>
      </c>
      <c r="C41" s="1">
        <v>400000</v>
      </c>
      <c r="D41">
        <f t="shared" si="1"/>
        <v>1.49</v>
      </c>
      <c r="E41" s="1">
        <f t="shared" si="0"/>
        <v>14900</v>
      </c>
      <c r="F41" s="1">
        <f t="shared" si="3"/>
        <v>26.845637583892618</v>
      </c>
      <c r="G41" s="1">
        <f t="shared" si="4"/>
        <v>13.422818791946309</v>
      </c>
      <c r="H41" s="1">
        <f t="shared" si="5"/>
        <v>5.3691275167785237</v>
      </c>
      <c r="I41" s="1">
        <f t="shared" si="6"/>
        <v>2.6845637583892619</v>
      </c>
      <c r="J41" s="1">
        <f t="shared" si="7"/>
        <v>1.7897091722595078</v>
      </c>
      <c r="K41" s="1">
        <f t="shared" si="8"/>
        <v>0.89485458612975388</v>
      </c>
      <c r="L41" s="1">
        <f t="shared" si="9"/>
        <v>0.26845637583892618</v>
      </c>
      <c r="M41">
        <f t="shared" si="2"/>
        <v>9500</v>
      </c>
      <c r="N41" s="7"/>
    </row>
    <row r="42" spans="1:14" x14ac:dyDescent="0.25">
      <c r="A42">
        <f t="shared" si="10"/>
        <v>41</v>
      </c>
      <c r="B42" s="1">
        <v>5100000</v>
      </c>
      <c r="C42" s="1">
        <v>400000</v>
      </c>
      <c r="D42">
        <f t="shared" si="1"/>
        <v>1.5</v>
      </c>
      <c r="E42" s="1">
        <f t="shared" si="0"/>
        <v>15000</v>
      </c>
      <c r="F42" s="1">
        <f t="shared" si="3"/>
        <v>26.666666666666668</v>
      </c>
      <c r="G42" s="1">
        <f t="shared" si="4"/>
        <v>13.333333333333334</v>
      </c>
      <c r="H42" s="1">
        <f t="shared" si="5"/>
        <v>5.333333333333333</v>
      </c>
      <c r="I42" s="1">
        <f t="shared" si="6"/>
        <v>2.6666666666666665</v>
      </c>
      <c r="J42" s="1">
        <f t="shared" si="7"/>
        <v>1.7777777777777777</v>
      </c>
      <c r="K42" s="1">
        <f t="shared" si="8"/>
        <v>0.88888888888888884</v>
      </c>
      <c r="L42" s="1">
        <f t="shared" si="9"/>
        <v>0.26666666666666666</v>
      </c>
      <c r="M42">
        <f t="shared" si="2"/>
        <v>9600</v>
      </c>
      <c r="N42" s="7"/>
    </row>
    <row r="43" spans="1:14" x14ac:dyDescent="0.25">
      <c r="A43">
        <f t="shared" si="10"/>
        <v>42</v>
      </c>
      <c r="B43" s="1">
        <v>5500000</v>
      </c>
      <c r="C43" s="1">
        <v>400000</v>
      </c>
      <c r="D43">
        <f t="shared" si="1"/>
        <v>1.52</v>
      </c>
      <c r="E43" s="1">
        <f t="shared" si="0"/>
        <v>15200</v>
      </c>
      <c r="F43" s="1">
        <f t="shared" si="3"/>
        <v>32.89473684210526</v>
      </c>
      <c r="G43" s="1">
        <f t="shared" si="4"/>
        <v>16.44736842105263</v>
      </c>
      <c r="H43" s="1">
        <f t="shared" si="5"/>
        <v>6.5789473684210522</v>
      </c>
      <c r="I43" s="1">
        <f t="shared" si="6"/>
        <v>3.2894736842105261</v>
      </c>
      <c r="J43" s="1">
        <f t="shared" si="7"/>
        <v>2.192982456140351</v>
      </c>
      <c r="K43" s="1">
        <f t="shared" si="8"/>
        <v>1.0964912280701755</v>
      </c>
      <c r="L43" s="1">
        <f t="shared" si="9"/>
        <v>0.32894736842105265</v>
      </c>
      <c r="M43">
        <f t="shared" si="2"/>
        <v>9600</v>
      </c>
      <c r="N43" s="7"/>
    </row>
    <row r="44" spans="1:14" x14ac:dyDescent="0.25">
      <c r="A44">
        <f t="shared" si="10"/>
        <v>43</v>
      </c>
      <c r="B44" s="1">
        <v>6000000</v>
      </c>
      <c r="C44" s="1">
        <v>500000</v>
      </c>
      <c r="D44">
        <f t="shared" si="1"/>
        <v>1.53</v>
      </c>
      <c r="E44" s="1">
        <f t="shared" si="0"/>
        <v>15300</v>
      </c>
      <c r="F44" s="1">
        <f t="shared" si="3"/>
        <v>32.679738562091501</v>
      </c>
      <c r="G44" s="1">
        <f t="shared" si="4"/>
        <v>16.33986928104575</v>
      </c>
      <c r="H44" s="1">
        <f t="shared" si="5"/>
        <v>6.5359477124183005</v>
      </c>
      <c r="I44" s="1">
        <f t="shared" si="6"/>
        <v>3.2679738562091503</v>
      </c>
      <c r="J44" s="1">
        <f t="shared" si="7"/>
        <v>2.1786492374727668</v>
      </c>
      <c r="K44" s="1">
        <f t="shared" si="8"/>
        <v>1.0893246187363834</v>
      </c>
      <c r="L44" s="1">
        <f t="shared" si="9"/>
        <v>0.32679738562091504</v>
      </c>
      <c r="M44">
        <f t="shared" si="2"/>
        <v>9800</v>
      </c>
      <c r="N44" s="7"/>
    </row>
    <row r="45" spans="1:14" x14ac:dyDescent="0.25">
      <c r="A45">
        <f t="shared" si="10"/>
        <v>44</v>
      </c>
      <c r="B45" s="1">
        <v>6500000</v>
      </c>
      <c r="C45" s="1">
        <v>500000</v>
      </c>
      <c r="D45">
        <f t="shared" si="1"/>
        <v>1.55</v>
      </c>
      <c r="E45" s="1">
        <f t="shared" si="0"/>
        <v>15500</v>
      </c>
      <c r="F45" s="1">
        <f t="shared" si="3"/>
        <v>32.258064516129032</v>
      </c>
      <c r="G45" s="1">
        <f t="shared" si="4"/>
        <v>16.129032258064516</v>
      </c>
      <c r="H45" s="1">
        <f t="shared" si="5"/>
        <v>6.4516129032258061</v>
      </c>
      <c r="I45" s="1">
        <f t="shared" si="6"/>
        <v>3.225806451612903</v>
      </c>
      <c r="J45" s="1">
        <f t="shared" si="7"/>
        <v>2.150537634408602</v>
      </c>
      <c r="K45" s="1">
        <f t="shared" si="8"/>
        <v>1.075268817204301</v>
      </c>
      <c r="L45" s="1">
        <f t="shared" si="9"/>
        <v>0.32258064516129031</v>
      </c>
      <c r="M45">
        <f t="shared" si="2"/>
        <v>9800</v>
      </c>
      <c r="N45" s="7"/>
    </row>
    <row r="46" spans="1:14" x14ac:dyDescent="0.25">
      <c r="A46">
        <f t="shared" si="10"/>
        <v>45</v>
      </c>
      <c r="B46" s="1">
        <v>7000000</v>
      </c>
      <c r="C46" s="1">
        <v>500000</v>
      </c>
      <c r="D46">
        <f t="shared" si="1"/>
        <v>1.56</v>
      </c>
      <c r="E46" s="1">
        <f t="shared" si="0"/>
        <v>15600</v>
      </c>
      <c r="F46" s="1">
        <f t="shared" si="3"/>
        <v>38.46153846153846</v>
      </c>
      <c r="G46" s="1">
        <f t="shared" si="4"/>
        <v>19.23076923076923</v>
      </c>
      <c r="H46" s="1">
        <f t="shared" si="5"/>
        <v>7.6923076923076925</v>
      </c>
      <c r="I46" s="1">
        <f t="shared" si="6"/>
        <v>3.8461538461538463</v>
      </c>
      <c r="J46" s="1">
        <f t="shared" si="7"/>
        <v>2.5641025641025643</v>
      </c>
      <c r="K46" s="1">
        <f t="shared" si="8"/>
        <v>1.2820512820512822</v>
      </c>
      <c r="L46" s="1">
        <f t="shared" si="9"/>
        <v>0.38461538461538464</v>
      </c>
      <c r="M46">
        <f t="shared" si="2"/>
        <v>10000</v>
      </c>
      <c r="N46" s="7"/>
    </row>
    <row r="47" spans="1:14" x14ac:dyDescent="0.25">
      <c r="A47">
        <f t="shared" si="10"/>
        <v>46</v>
      </c>
      <c r="B47" s="1">
        <v>7600000</v>
      </c>
      <c r="C47" s="1">
        <v>600000</v>
      </c>
      <c r="D47">
        <f t="shared" si="1"/>
        <v>1.58</v>
      </c>
      <c r="E47" s="1">
        <f t="shared" si="0"/>
        <v>15800</v>
      </c>
      <c r="F47" s="1">
        <f t="shared" si="3"/>
        <v>37.974683544303801</v>
      </c>
      <c r="G47" s="1">
        <f t="shared" si="4"/>
        <v>18.9873417721519</v>
      </c>
      <c r="H47" s="1">
        <f t="shared" si="5"/>
        <v>7.5949367088607591</v>
      </c>
      <c r="I47" s="1">
        <f t="shared" si="6"/>
        <v>3.7974683544303796</v>
      </c>
      <c r="J47" s="1">
        <f t="shared" si="7"/>
        <v>2.5316455696202533</v>
      </c>
      <c r="K47" s="1">
        <f t="shared" si="8"/>
        <v>1.2658227848101267</v>
      </c>
      <c r="L47" s="1">
        <f t="shared" si="9"/>
        <v>0.379746835443038</v>
      </c>
      <c r="M47">
        <f t="shared" si="2"/>
        <v>10100</v>
      </c>
      <c r="N47" s="7"/>
    </row>
    <row r="48" spans="1:14" x14ac:dyDescent="0.25">
      <c r="A48">
        <f t="shared" si="10"/>
        <v>47</v>
      </c>
      <c r="B48" s="1">
        <v>8200000</v>
      </c>
      <c r="C48" s="1">
        <v>600000</v>
      </c>
      <c r="D48">
        <f t="shared" si="1"/>
        <v>1.6</v>
      </c>
      <c r="E48" s="1">
        <f t="shared" si="0"/>
        <v>16000</v>
      </c>
      <c r="F48" s="1">
        <f t="shared" si="3"/>
        <v>43.75</v>
      </c>
      <c r="G48" s="1">
        <f t="shared" si="4"/>
        <v>21.875</v>
      </c>
      <c r="H48" s="1">
        <f t="shared" si="5"/>
        <v>8.75</v>
      </c>
      <c r="I48" s="1">
        <f t="shared" si="6"/>
        <v>4.375</v>
      </c>
      <c r="J48" s="1">
        <f t="shared" si="7"/>
        <v>2.9166666666666665</v>
      </c>
      <c r="K48" s="1">
        <f t="shared" si="8"/>
        <v>1.4583333333333333</v>
      </c>
      <c r="L48" s="1">
        <f t="shared" si="9"/>
        <v>0.4375</v>
      </c>
      <c r="M48">
        <f t="shared" si="2"/>
        <v>10100</v>
      </c>
      <c r="N48" s="7"/>
    </row>
    <row r="49" spans="1:14" x14ac:dyDescent="0.25">
      <c r="A49">
        <f t="shared" si="10"/>
        <v>48</v>
      </c>
      <c r="B49" s="1">
        <v>8900000</v>
      </c>
      <c r="C49" s="1">
        <v>700000</v>
      </c>
      <c r="D49">
        <f t="shared" si="1"/>
        <v>1.61</v>
      </c>
      <c r="E49" s="1">
        <f t="shared" si="0"/>
        <v>16100.000000000002</v>
      </c>
      <c r="F49" s="1">
        <f t="shared" si="3"/>
        <v>43.478260869565212</v>
      </c>
      <c r="G49" s="1">
        <f t="shared" si="4"/>
        <v>21.739130434782606</v>
      </c>
      <c r="H49" s="1">
        <f t="shared" si="5"/>
        <v>8.6956521739130412</v>
      </c>
      <c r="I49" s="1">
        <f t="shared" si="6"/>
        <v>4.3478260869565206</v>
      </c>
      <c r="J49" s="1">
        <f t="shared" si="7"/>
        <v>2.8985507246376807</v>
      </c>
      <c r="K49" s="1">
        <f t="shared" si="8"/>
        <v>1.4492753623188404</v>
      </c>
      <c r="L49" s="1">
        <f t="shared" si="9"/>
        <v>0.43478260869565211</v>
      </c>
      <c r="M49">
        <f t="shared" si="2"/>
        <v>10300</v>
      </c>
      <c r="N49" s="7"/>
    </row>
    <row r="50" spans="1:14" x14ac:dyDescent="0.25">
      <c r="A50">
        <f t="shared" si="10"/>
        <v>49</v>
      </c>
      <c r="B50" s="1">
        <v>9600000</v>
      </c>
      <c r="C50" s="1">
        <v>700000</v>
      </c>
      <c r="D50">
        <f t="shared" si="1"/>
        <v>1.63</v>
      </c>
      <c r="E50" s="1">
        <f t="shared" si="0"/>
        <v>16299.999999999998</v>
      </c>
      <c r="F50" s="1">
        <f t="shared" si="3"/>
        <v>49.079754601227002</v>
      </c>
      <c r="G50" s="1">
        <f t="shared" si="4"/>
        <v>24.539877300613501</v>
      </c>
      <c r="H50" s="1">
        <f t="shared" si="5"/>
        <v>9.8159509202454007</v>
      </c>
      <c r="I50" s="1">
        <f t="shared" si="6"/>
        <v>4.9079754601227004</v>
      </c>
      <c r="J50" s="1">
        <f t="shared" si="7"/>
        <v>3.2719836400818001</v>
      </c>
      <c r="K50" s="1">
        <f t="shared" si="8"/>
        <v>1.6359918200409</v>
      </c>
      <c r="L50" s="1">
        <f t="shared" si="9"/>
        <v>0.49079754601226999</v>
      </c>
      <c r="M50">
        <f t="shared" si="2"/>
        <v>10300</v>
      </c>
      <c r="N50" s="7"/>
    </row>
    <row r="51" spans="1:14" x14ac:dyDescent="0.25">
      <c r="A51">
        <f t="shared" si="10"/>
        <v>50</v>
      </c>
      <c r="B51" s="1">
        <v>10400000</v>
      </c>
      <c r="C51" s="1">
        <v>800000</v>
      </c>
      <c r="D51">
        <f t="shared" si="1"/>
        <v>1.64</v>
      </c>
      <c r="E51" s="1">
        <f t="shared" si="0"/>
        <v>16400</v>
      </c>
      <c r="F51" s="1">
        <f t="shared" si="3"/>
        <v>48.780487804878049</v>
      </c>
      <c r="G51" s="1">
        <f t="shared" si="4"/>
        <v>24.390243902439025</v>
      </c>
      <c r="H51" s="1">
        <f t="shared" si="5"/>
        <v>9.7560975609756095</v>
      </c>
      <c r="I51" s="1">
        <f t="shared" si="6"/>
        <v>4.8780487804878048</v>
      </c>
      <c r="J51" s="1">
        <f t="shared" si="7"/>
        <v>3.2520325203252032</v>
      </c>
      <c r="K51" s="1">
        <f t="shared" si="8"/>
        <v>1.6260162601626016</v>
      </c>
      <c r="L51" s="1">
        <f t="shared" si="9"/>
        <v>0.48780487804878048</v>
      </c>
      <c r="M51">
        <f t="shared" si="2"/>
        <v>10500</v>
      </c>
      <c r="N51" s="7"/>
    </row>
    <row r="52" spans="1:14" x14ac:dyDescent="0.25">
      <c r="A52">
        <f t="shared" si="10"/>
        <v>51</v>
      </c>
      <c r="B52" s="1">
        <v>11200000</v>
      </c>
      <c r="C52" s="1">
        <v>800000</v>
      </c>
      <c r="D52">
        <f t="shared" si="1"/>
        <v>1.66</v>
      </c>
      <c r="E52" s="1">
        <f t="shared" si="0"/>
        <v>16600</v>
      </c>
      <c r="F52" s="1">
        <f t="shared" si="3"/>
        <v>54.216867469879517</v>
      </c>
      <c r="G52" s="1">
        <f t="shared" si="4"/>
        <v>27.108433734939759</v>
      </c>
      <c r="H52" s="1">
        <f t="shared" si="5"/>
        <v>10.843373493975903</v>
      </c>
      <c r="I52" s="1">
        <f t="shared" si="6"/>
        <v>5.4216867469879517</v>
      </c>
      <c r="J52" s="1">
        <f t="shared" si="7"/>
        <v>3.6144578313253013</v>
      </c>
      <c r="K52" s="1">
        <f t="shared" si="8"/>
        <v>1.8072289156626506</v>
      </c>
      <c r="L52" s="1">
        <f t="shared" si="9"/>
        <v>0.54216867469879515</v>
      </c>
      <c r="M52">
        <f t="shared" si="2"/>
        <v>10600</v>
      </c>
      <c r="N52" s="7"/>
    </row>
    <row r="53" spans="1:14" x14ac:dyDescent="0.25">
      <c r="A53">
        <f t="shared" si="10"/>
        <v>52</v>
      </c>
      <c r="B53" s="1">
        <v>12100000</v>
      </c>
      <c r="C53" s="1">
        <v>900000</v>
      </c>
      <c r="D53">
        <f t="shared" si="1"/>
        <v>1.68</v>
      </c>
      <c r="E53" s="1">
        <f t="shared" si="0"/>
        <v>16800</v>
      </c>
      <c r="F53" s="1">
        <f t="shared" si="3"/>
        <v>53.571428571428569</v>
      </c>
      <c r="G53" s="1">
        <f t="shared" si="4"/>
        <v>26.785714285714285</v>
      </c>
      <c r="H53" s="1">
        <f t="shared" si="5"/>
        <v>10.714285714285714</v>
      </c>
      <c r="I53" s="1">
        <f t="shared" si="6"/>
        <v>5.3571428571428568</v>
      </c>
      <c r="J53" s="1">
        <f t="shared" si="7"/>
        <v>3.5714285714285716</v>
      </c>
      <c r="K53" s="1">
        <f t="shared" si="8"/>
        <v>1.7857142857142858</v>
      </c>
      <c r="L53" s="1">
        <f t="shared" si="9"/>
        <v>0.5357142857142857</v>
      </c>
      <c r="M53">
        <f t="shared" si="2"/>
        <v>10600</v>
      </c>
      <c r="N53" s="7"/>
    </row>
    <row r="54" spans="1:14" x14ac:dyDescent="0.25">
      <c r="A54">
        <f t="shared" si="10"/>
        <v>53</v>
      </c>
      <c r="B54" s="1">
        <v>13000000</v>
      </c>
      <c r="C54" s="1">
        <v>900000</v>
      </c>
      <c r="D54">
        <f t="shared" si="1"/>
        <v>1.69</v>
      </c>
      <c r="E54" s="1">
        <f t="shared" si="0"/>
        <v>16900</v>
      </c>
      <c r="F54" s="1">
        <f t="shared" si="3"/>
        <v>59.171597633136095</v>
      </c>
      <c r="G54" s="1">
        <f t="shared" si="4"/>
        <v>29.585798816568047</v>
      </c>
      <c r="H54" s="1">
        <f t="shared" si="5"/>
        <v>11.834319526627219</v>
      </c>
      <c r="I54" s="1">
        <f t="shared" si="6"/>
        <v>5.9171597633136095</v>
      </c>
      <c r="J54" s="1">
        <f t="shared" si="7"/>
        <v>3.9447731755424065</v>
      </c>
      <c r="K54" s="1">
        <f t="shared" si="8"/>
        <v>1.9723865877712032</v>
      </c>
      <c r="L54" s="1">
        <f t="shared" si="9"/>
        <v>0.59171597633136097</v>
      </c>
      <c r="M54">
        <f t="shared" si="2"/>
        <v>10800</v>
      </c>
      <c r="N54" s="7"/>
    </row>
    <row r="55" spans="1:14" x14ac:dyDescent="0.25">
      <c r="A55">
        <f t="shared" si="10"/>
        <v>54</v>
      </c>
      <c r="B55" s="1">
        <v>14000000</v>
      </c>
      <c r="C55" s="1">
        <v>1000000</v>
      </c>
      <c r="D55">
        <f t="shared" si="1"/>
        <v>1.71</v>
      </c>
      <c r="E55" s="1">
        <f t="shared" si="0"/>
        <v>17100</v>
      </c>
      <c r="F55" s="1">
        <f t="shared" si="3"/>
        <v>58.479532163742689</v>
      </c>
      <c r="G55" s="1">
        <f t="shared" si="4"/>
        <v>29.239766081871345</v>
      </c>
      <c r="H55" s="1">
        <f t="shared" si="5"/>
        <v>11.695906432748538</v>
      </c>
      <c r="I55" s="1">
        <f t="shared" si="6"/>
        <v>5.8479532163742691</v>
      </c>
      <c r="J55" s="1">
        <f t="shared" si="7"/>
        <v>3.8986354775828458</v>
      </c>
      <c r="K55" s="1">
        <f t="shared" si="8"/>
        <v>1.9493177387914229</v>
      </c>
      <c r="L55" s="1">
        <f t="shared" si="9"/>
        <v>0.58479532163742687</v>
      </c>
      <c r="M55">
        <f t="shared" si="2"/>
        <v>10900</v>
      </c>
      <c r="N55" s="7"/>
    </row>
    <row r="56" spans="1:14" x14ac:dyDescent="0.25">
      <c r="A56">
        <f t="shared" si="10"/>
        <v>55</v>
      </c>
      <c r="B56" s="1">
        <v>15000000</v>
      </c>
      <c r="C56" s="1">
        <v>1000000</v>
      </c>
      <c r="D56">
        <f t="shared" si="1"/>
        <v>1.73</v>
      </c>
      <c r="E56" s="1">
        <f t="shared" si="0"/>
        <v>17300</v>
      </c>
      <c r="F56" s="1">
        <f t="shared" si="3"/>
        <v>57.803468208092482</v>
      </c>
      <c r="G56" s="1">
        <f t="shared" si="4"/>
        <v>28.901734104046241</v>
      </c>
      <c r="H56" s="1">
        <f t="shared" si="5"/>
        <v>11.560693641618498</v>
      </c>
      <c r="I56" s="1">
        <f t="shared" si="6"/>
        <v>5.7803468208092488</v>
      </c>
      <c r="J56" s="1">
        <f t="shared" si="7"/>
        <v>3.8535645472061657</v>
      </c>
      <c r="K56" s="1">
        <f t="shared" si="8"/>
        <v>1.9267822736030829</v>
      </c>
      <c r="L56" s="1">
        <f t="shared" si="9"/>
        <v>0.5780346820809249</v>
      </c>
      <c r="M56">
        <f t="shared" si="2"/>
        <v>11000</v>
      </c>
      <c r="N56" s="7"/>
    </row>
    <row r="57" spans="1:14" x14ac:dyDescent="0.25">
      <c r="A57">
        <f t="shared" si="10"/>
        <v>56</v>
      </c>
      <c r="B57" s="1">
        <v>16000000</v>
      </c>
      <c r="C57" s="1">
        <v>1000000</v>
      </c>
      <c r="D57">
        <f t="shared" si="1"/>
        <v>1.75</v>
      </c>
      <c r="E57" s="1">
        <f t="shared" si="0"/>
        <v>17500</v>
      </c>
      <c r="F57" s="1">
        <f t="shared" si="3"/>
        <v>57.142857142857146</v>
      </c>
      <c r="G57" s="1">
        <f t="shared" si="4"/>
        <v>28.571428571428573</v>
      </c>
      <c r="H57" s="1">
        <f t="shared" si="5"/>
        <v>11.428571428571429</v>
      </c>
      <c r="I57" s="1">
        <f t="shared" si="6"/>
        <v>5.7142857142857144</v>
      </c>
      <c r="J57" s="1">
        <f t="shared" si="7"/>
        <v>3.8095238095238093</v>
      </c>
      <c r="K57" s="1">
        <f t="shared" si="8"/>
        <v>1.9047619047619047</v>
      </c>
      <c r="L57" s="1">
        <f t="shared" si="9"/>
        <v>0.5714285714285714</v>
      </c>
      <c r="M57">
        <f t="shared" si="2"/>
        <v>11100</v>
      </c>
      <c r="N57" s="7"/>
    </row>
    <row r="58" spans="1:14" x14ac:dyDescent="0.25">
      <c r="A58">
        <f t="shared" si="10"/>
        <v>57</v>
      </c>
      <c r="B58" s="1">
        <v>17000000</v>
      </c>
      <c r="C58" s="1">
        <v>1000000</v>
      </c>
      <c r="D58">
        <f t="shared" si="1"/>
        <v>1.76</v>
      </c>
      <c r="E58" s="1">
        <f t="shared" si="0"/>
        <v>17600</v>
      </c>
      <c r="F58" s="1">
        <f t="shared" si="3"/>
        <v>56.81818181818182</v>
      </c>
      <c r="G58" s="1">
        <f t="shared" si="4"/>
        <v>28.40909090909091</v>
      </c>
      <c r="H58" s="1">
        <f t="shared" si="5"/>
        <v>11.363636363636363</v>
      </c>
      <c r="I58" s="1">
        <f t="shared" si="6"/>
        <v>5.6818181818181817</v>
      </c>
      <c r="J58" s="1">
        <f t="shared" si="7"/>
        <v>3.7878787878787881</v>
      </c>
      <c r="K58" s="1">
        <f t="shared" si="8"/>
        <v>1.893939393939394</v>
      </c>
      <c r="L58" s="1">
        <f t="shared" si="9"/>
        <v>0.56818181818181823</v>
      </c>
      <c r="M58">
        <f t="shared" si="2"/>
        <v>11200</v>
      </c>
      <c r="N58" s="7"/>
    </row>
    <row r="59" spans="1:14" x14ac:dyDescent="0.25">
      <c r="A59">
        <f t="shared" si="10"/>
        <v>58</v>
      </c>
      <c r="B59" s="1">
        <v>18000000</v>
      </c>
      <c r="C59" s="1">
        <v>1000000</v>
      </c>
      <c r="D59">
        <f t="shared" si="1"/>
        <v>1.78</v>
      </c>
      <c r="E59" s="1">
        <f t="shared" si="0"/>
        <v>17800</v>
      </c>
      <c r="F59" s="1">
        <f t="shared" si="3"/>
        <v>112.35955056179775</v>
      </c>
      <c r="G59" s="1">
        <f t="shared" si="4"/>
        <v>56.179775280898873</v>
      </c>
      <c r="H59" s="1">
        <f t="shared" si="5"/>
        <v>22.471910112359552</v>
      </c>
      <c r="I59" s="1">
        <f t="shared" si="6"/>
        <v>11.235955056179776</v>
      </c>
      <c r="J59" s="1">
        <f t="shared" si="7"/>
        <v>7.4906367041198498</v>
      </c>
      <c r="K59" s="1">
        <f t="shared" si="8"/>
        <v>3.7453183520599249</v>
      </c>
      <c r="L59" s="1">
        <f t="shared" si="9"/>
        <v>1.1235955056179776</v>
      </c>
      <c r="M59">
        <f t="shared" si="2"/>
        <v>11300</v>
      </c>
      <c r="N59" s="7"/>
    </row>
    <row r="60" spans="1:14" x14ac:dyDescent="0.25">
      <c r="A60">
        <f t="shared" si="10"/>
        <v>59</v>
      </c>
      <c r="B60" s="1">
        <v>20000000</v>
      </c>
      <c r="C60" s="1">
        <v>2000000</v>
      </c>
      <c r="D60">
        <f t="shared" si="1"/>
        <v>1.8</v>
      </c>
      <c r="E60" s="1">
        <f t="shared" si="0"/>
        <v>18000</v>
      </c>
      <c r="F60" s="1">
        <f t="shared" si="3"/>
        <v>111.11111111111111</v>
      </c>
      <c r="G60" s="1">
        <f t="shared" si="4"/>
        <v>55.555555555555557</v>
      </c>
      <c r="H60" s="1">
        <f t="shared" si="5"/>
        <v>22.222222222222221</v>
      </c>
      <c r="I60" s="1">
        <f t="shared" si="6"/>
        <v>11.111111111111111</v>
      </c>
      <c r="J60" s="1">
        <f t="shared" si="7"/>
        <v>7.4074074074074074</v>
      </c>
      <c r="K60" s="1">
        <f t="shared" si="8"/>
        <v>3.7037037037037037</v>
      </c>
      <c r="L60" s="1">
        <f t="shared" si="9"/>
        <v>1.1111111111111112</v>
      </c>
      <c r="M60">
        <f t="shared" si="2"/>
        <v>11500</v>
      </c>
      <c r="N60" s="7"/>
    </row>
    <row r="61" spans="1:14" x14ac:dyDescent="0.25">
      <c r="A61">
        <f t="shared" si="10"/>
        <v>60</v>
      </c>
      <c r="B61" s="1">
        <v>22000000</v>
      </c>
      <c r="C61" s="1">
        <v>2000000</v>
      </c>
      <c r="D61">
        <f t="shared" si="1"/>
        <v>1.82</v>
      </c>
      <c r="E61" s="1">
        <f t="shared" si="0"/>
        <v>18200</v>
      </c>
      <c r="F61" s="1">
        <f t="shared" si="3"/>
        <v>109.89010989010988</v>
      </c>
      <c r="G61" s="1">
        <f t="shared" si="4"/>
        <v>54.945054945054942</v>
      </c>
      <c r="H61" s="1">
        <f t="shared" si="5"/>
        <v>21.978021978021978</v>
      </c>
      <c r="I61" s="1">
        <f t="shared" si="6"/>
        <v>10.989010989010989</v>
      </c>
      <c r="J61" s="1">
        <f t="shared" si="7"/>
        <v>7.3260073260073257</v>
      </c>
      <c r="K61" s="1">
        <f t="shared" si="8"/>
        <v>3.6630036630036629</v>
      </c>
      <c r="L61" s="1">
        <f t="shared" si="9"/>
        <v>1.098901098901099</v>
      </c>
      <c r="M61">
        <f t="shared" si="2"/>
        <v>11500</v>
      </c>
      <c r="N61" s="7"/>
    </row>
    <row r="62" spans="1:14" x14ac:dyDescent="0.25">
      <c r="A62">
        <f t="shared" si="10"/>
        <v>61</v>
      </c>
      <c r="B62" s="1">
        <v>24000000</v>
      </c>
      <c r="C62" s="1">
        <v>2000000</v>
      </c>
      <c r="D62">
        <f t="shared" si="1"/>
        <v>1.83</v>
      </c>
      <c r="E62" s="1">
        <f t="shared" si="0"/>
        <v>18300</v>
      </c>
      <c r="F62" s="1">
        <f t="shared" si="3"/>
        <v>109.2896174863388</v>
      </c>
      <c r="G62" s="1">
        <f t="shared" si="4"/>
        <v>54.644808743169399</v>
      </c>
      <c r="H62" s="1">
        <f t="shared" si="5"/>
        <v>21.857923497267759</v>
      </c>
      <c r="I62" s="1">
        <f t="shared" si="6"/>
        <v>10.928961748633879</v>
      </c>
      <c r="J62" s="1">
        <f t="shared" si="7"/>
        <v>7.285974499089253</v>
      </c>
      <c r="K62" s="1">
        <f t="shared" si="8"/>
        <v>3.6429872495446265</v>
      </c>
      <c r="L62" s="1">
        <f t="shared" si="9"/>
        <v>1.0928961748633881</v>
      </c>
      <c r="M62">
        <f t="shared" si="2"/>
        <v>11700</v>
      </c>
      <c r="N62" s="7"/>
    </row>
    <row r="63" spans="1:14" x14ac:dyDescent="0.25">
      <c r="A63">
        <f t="shared" si="10"/>
        <v>62</v>
      </c>
      <c r="B63" s="1">
        <v>26000000</v>
      </c>
      <c r="C63" s="1">
        <v>2000000</v>
      </c>
      <c r="D63">
        <f t="shared" si="1"/>
        <v>1.85</v>
      </c>
      <c r="E63" s="1">
        <f t="shared" si="0"/>
        <v>18500</v>
      </c>
      <c r="F63" s="1">
        <f t="shared" si="3"/>
        <v>108.10810810810811</v>
      </c>
      <c r="G63" s="1">
        <f t="shared" si="4"/>
        <v>54.054054054054056</v>
      </c>
      <c r="H63" s="1">
        <f t="shared" si="5"/>
        <v>21.621621621621621</v>
      </c>
      <c r="I63" s="1">
        <f t="shared" si="6"/>
        <v>10.810810810810811</v>
      </c>
      <c r="J63" s="1">
        <f t="shared" si="7"/>
        <v>7.2072072072072073</v>
      </c>
      <c r="K63" s="1">
        <f t="shared" si="8"/>
        <v>3.6036036036036037</v>
      </c>
      <c r="L63" s="1">
        <f t="shared" si="9"/>
        <v>1.0810810810810811</v>
      </c>
      <c r="M63">
        <f t="shared" si="2"/>
        <v>11800</v>
      </c>
      <c r="N63" s="7"/>
    </row>
    <row r="64" spans="1:14" x14ac:dyDescent="0.25">
      <c r="A64">
        <f t="shared" si="10"/>
        <v>63</v>
      </c>
      <c r="B64" s="1">
        <v>28000000</v>
      </c>
      <c r="C64" s="1">
        <v>2000000</v>
      </c>
      <c r="D64">
        <f t="shared" si="1"/>
        <v>1.87</v>
      </c>
      <c r="E64" s="1">
        <f t="shared" si="0"/>
        <v>18700</v>
      </c>
      <c r="F64" s="1">
        <f t="shared" si="3"/>
        <v>106.95187165775401</v>
      </c>
      <c r="G64" s="1">
        <f t="shared" si="4"/>
        <v>53.475935828877006</v>
      </c>
      <c r="H64" s="1">
        <f t="shared" si="5"/>
        <v>21.390374331550802</v>
      </c>
      <c r="I64" s="1">
        <f t="shared" si="6"/>
        <v>10.695187165775401</v>
      </c>
      <c r="J64" s="1">
        <f t="shared" si="7"/>
        <v>7.1301247771836005</v>
      </c>
      <c r="K64" s="1">
        <f t="shared" si="8"/>
        <v>3.5650623885918002</v>
      </c>
      <c r="L64" s="1">
        <f t="shared" si="9"/>
        <v>1.0695187165775402</v>
      </c>
      <c r="M64">
        <f t="shared" si="2"/>
        <v>11900</v>
      </c>
      <c r="N64" s="7"/>
    </row>
    <row r="65" spans="1:14" x14ac:dyDescent="0.25">
      <c r="A65">
        <f t="shared" si="10"/>
        <v>64</v>
      </c>
      <c r="B65" s="1">
        <v>30000000</v>
      </c>
      <c r="C65" s="1">
        <v>2000000</v>
      </c>
      <c r="D65">
        <f t="shared" si="1"/>
        <v>1.89</v>
      </c>
      <c r="E65" s="1">
        <f t="shared" si="0"/>
        <v>18900</v>
      </c>
      <c r="F65" s="1">
        <f t="shared" si="3"/>
        <v>158.73015873015873</v>
      </c>
      <c r="G65" s="1">
        <f t="shared" si="4"/>
        <v>79.365079365079367</v>
      </c>
      <c r="H65" s="1">
        <f t="shared" si="5"/>
        <v>31.746031746031747</v>
      </c>
      <c r="I65" s="1">
        <f t="shared" si="6"/>
        <v>15.873015873015873</v>
      </c>
      <c r="J65" s="1">
        <f t="shared" si="7"/>
        <v>10.582010582010582</v>
      </c>
      <c r="K65" s="1">
        <f t="shared" si="8"/>
        <v>5.2910052910052912</v>
      </c>
      <c r="L65" s="1">
        <f t="shared" si="9"/>
        <v>1.5873015873015872</v>
      </c>
      <c r="M65">
        <f t="shared" si="2"/>
        <v>12000</v>
      </c>
      <c r="N65" s="7"/>
    </row>
    <row r="66" spans="1:14" x14ac:dyDescent="0.25">
      <c r="A66">
        <f t="shared" si="10"/>
        <v>65</v>
      </c>
      <c r="B66" s="1">
        <v>33000000</v>
      </c>
      <c r="C66" s="1">
        <v>3000000</v>
      </c>
      <c r="D66">
        <f t="shared" si="1"/>
        <v>1.91</v>
      </c>
      <c r="E66" s="1">
        <f t="shared" ref="E66:E129" si="11">+D66*10000</f>
        <v>19100</v>
      </c>
      <c r="F66" s="1">
        <f t="shared" si="3"/>
        <v>157.06806282722513</v>
      </c>
      <c r="G66" s="1">
        <f t="shared" si="4"/>
        <v>78.534031413612567</v>
      </c>
      <c r="H66" s="1">
        <f t="shared" si="5"/>
        <v>31.413612565445025</v>
      </c>
      <c r="I66" s="1">
        <f t="shared" si="6"/>
        <v>15.706806282722512</v>
      </c>
      <c r="J66" s="1">
        <f t="shared" si="7"/>
        <v>10.471204188481675</v>
      </c>
      <c r="K66" s="1">
        <f t="shared" si="8"/>
        <v>5.2356020942408374</v>
      </c>
      <c r="L66" s="1">
        <f t="shared" si="9"/>
        <v>1.5706806282722514</v>
      </c>
      <c r="M66">
        <f t="shared" si="2"/>
        <v>12200</v>
      </c>
      <c r="N66" s="7"/>
    </row>
    <row r="67" spans="1:14" x14ac:dyDescent="0.25">
      <c r="A67">
        <f t="shared" si="10"/>
        <v>66</v>
      </c>
      <c r="B67" s="1">
        <v>36000000</v>
      </c>
      <c r="C67" s="1">
        <v>3000000</v>
      </c>
      <c r="D67">
        <f t="shared" ref="D67:D130" si="12">ROUND(1.01^A67,2)</f>
        <v>1.93</v>
      </c>
      <c r="E67" s="1">
        <f t="shared" si="11"/>
        <v>19300</v>
      </c>
      <c r="F67" s="1">
        <f t="shared" si="3"/>
        <v>155.44041450777203</v>
      </c>
      <c r="G67" s="1">
        <f t="shared" si="4"/>
        <v>77.720207253886016</v>
      </c>
      <c r="H67" s="1">
        <f t="shared" si="5"/>
        <v>31.088082901554404</v>
      </c>
      <c r="I67" s="1">
        <f t="shared" si="6"/>
        <v>15.544041450777202</v>
      </c>
      <c r="J67" s="1">
        <f t="shared" si="7"/>
        <v>10.362694300518134</v>
      </c>
      <c r="K67" s="1">
        <f t="shared" si="8"/>
        <v>5.1813471502590671</v>
      </c>
      <c r="L67" s="1">
        <f t="shared" si="9"/>
        <v>1.5544041450777202</v>
      </c>
      <c r="M67">
        <f t="shared" ref="M67:M130" si="13">ROUND(MAX(E68*6.3*10%,C68*0.05%),-MAX(2,INT(LOG10(MAX(E68*6.3*10%,C68*0.05%)))-2))</f>
        <v>12300</v>
      </c>
      <c r="N67" s="7"/>
    </row>
    <row r="68" spans="1:14" x14ac:dyDescent="0.25">
      <c r="A68">
        <f t="shared" si="10"/>
        <v>67</v>
      </c>
      <c r="B68" s="1">
        <v>39000000</v>
      </c>
      <c r="C68" s="1">
        <v>3000000</v>
      </c>
      <c r="D68">
        <f t="shared" si="12"/>
        <v>1.95</v>
      </c>
      <c r="E68" s="1">
        <f t="shared" si="11"/>
        <v>19500</v>
      </c>
      <c r="F68" s="1">
        <f t="shared" ref="F68:F131" si="14">$C69/($E68*1)</f>
        <v>153.84615384615384</v>
      </c>
      <c r="G68" s="1">
        <f t="shared" ref="G68:G131" si="15">$C69/($E68*2)</f>
        <v>76.92307692307692</v>
      </c>
      <c r="H68" s="1">
        <f t="shared" ref="H68:H131" si="16">$C69/($E68*5)</f>
        <v>30.76923076923077</v>
      </c>
      <c r="I68" s="1">
        <f t="shared" ref="I68:I131" si="17">$C69/($E68*10)</f>
        <v>15.384615384615385</v>
      </c>
      <c r="J68" s="1">
        <f t="shared" ref="J68:J131" si="18">$C69/($E68*15)</f>
        <v>10.256410256410257</v>
      </c>
      <c r="K68" s="1">
        <f t="shared" ref="K68:K131" si="19">$C69/($E68*30)</f>
        <v>5.1282051282051286</v>
      </c>
      <c r="L68" s="1">
        <f t="shared" ref="L68:L131" si="20">$C69/($E68*100)</f>
        <v>1.5384615384615385</v>
      </c>
      <c r="M68">
        <f t="shared" si="13"/>
        <v>12400</v>
      </c>
      <c r="N68" s="7"/>
    </row>
    <row r="69" spans="1:14" x14ac:dyDescent="0.25">
      <c r="A69">
        <f t="shared" ref="A69:A132" si="21">+A68+1</f>
        <v>68</v>
      </c>
      <c r="B69" s="1">
        <v>42000000</v>
      </c>
      <c r="C69" s="1">
        <v>3000000</v>
      </c>
      <c r="D69">
        <f t="shared" si="12"/>
        <v>1.97</v>
      </c>
      <c r="E69" s="1">
        <f t="shared" si="11"/>
        <v>19700</v>
      </c>
      <c r="F69" s="1">
        <f t="shared" si="14"/>
        <v>152.28426395939087</v>
      </c>
      <c r="G69" s="1">
        <f t="shared" si="15"/>
        <v>76.142131979695435</v>
      </c>
      <c r="H69" s="1">
        <f t="shared" si="16"/>
        <v>30.456852791878173</v>
      </c>
      <c r="I69" s="1">
        <f t="shared" si="17"/>
        <v>15.228426395939087</v>
      </c>
      <c r="J69" s="1">
        <f t="shared" si="18"/>
        <v>10.152284263959391</v>
      </c>
      <c r="K69" s="1">
        <f t="shared" si="19"/>
        <v>5.0761421319796955</v>
      </c>
      <c r="L69" s="1">
        <f t="shared" si="20"/>
        <v>1.5228426395939085</v>
      </c>
      <c r="M69">
        <f t="shared" si="13"/>
        <v>12500</v>
      </c>
      <c r="N69" s="7"/>
    </row>
    <row r="70" spans="1:14" x14ac:dyDescent="0.25">
      <c r="A70">
        <f t="shared" si="21"/>
        <v>69</v>
      </c>
      <c r="B70" s="1">
        <v>45000000</v>
      </c>
      <c r="C70" s="1">
        <v>3000000</v>
      </c>
      <c r="D70">
        <f t="shared" si="12"/>
        <v>1.99</v>
      </c>
      <c r="E70" s="1">
        <f t="shared" si="11"/>
        <v>19900</v>
      </c>
      <c r="F70" s="1">
        <f t="shared" si="14"/>
        <v>201.00502512562815</v>
      </c>
      <c r="G70" s="1">
        <f t="shared" si="15"/>
        <v>100.50251256281408</v>
      </c>
      <c r="H70" s="1">
        <f t="shared" si="16"/>
        <v>40.201005025125632</v>
      </c>
      <c r="I70" s="1">
        <f t="shared" si="17"/>
        <v>20.100502512562816</v>
      </c>
      <c r="J70" s="1">
        <f t="shared" si="18"/>
        <v>13.40033500837521</v>
      </c>
      <c r="K70" s="1">
        <f t="shared" si="19"/>
        <v>6.700167504187605</v>
      </c>
      <c r="L70" s="1">
        <f t="shared" si="20"/>
        <v>2.0100502512562812</v>
      </c>
      <c r="M70">
        <f t="shared" si="13"/>
        <v>12700</v>
      </c>
      <c r="N70" s="7"/>
    </row>
    <row r="71" spans="1:14" x14ac:dyDescent="0.25">
      <c r="A71">
        <f t="shared" si="21"/>
        <v>70</v>
      </c>
      <c r="B71" s="1">
        <v>49000000</v>
      </c>
      <c r="C71" s="1">
        <v>4000000</v>
      </c>
      <c r="D71">
        <f t="shared" si="12"/>
        <v>2.0099999999999998</v>
      </c>
      <c r="E71" s="1">
        <f t="shared" si="11"/>
        <v>20099.999999999996</v>
      </c>
      <c r="F71" s="1">
        <f t="shared" si="14"/>
        <v>199.00497512437815</v>
      </c>
      <c r="G71" s="1">
        <f t="shared" si="15"/>
        <v>99.502487562189074</v>
      </c>
      <c r="H71" s="1">
        <f t="shared" si="16"/>
        <v>39.800995024875625</v>
      </c>
      <c r="I71" s="1">
        <f t="shared" si="17"/>
        <v>19.900497512437813</v>
      </c>
      <c r="J71" s="1">
        <f t="shared" si="18"/>
        <v>13.266998341625209</v>
      </c>
      <c r="K71" s="1">
        <f t="shared" si="19"/>
        <v>6.6334991708126045</v>
      </c>
      <c r="L71" s="1">
        <f t="shared" si="20"/>
        <v>1.9900497512437816</v>
      </c>
      <c r="M71">
        <f t="shared" si="13"/>
        <v>12800</v>
      </c>
      <c r="N71" s="7"/>
    </row>
    <row r="72" spans="1:14" x14ac:dyDescent="0.25">
      <c r="A72">
        <f t="shared" si="21"/>
        <v>71</v>
      </c>
      <c r="B72" s="1">
        <v>53000000</v>
      </c>
      <c r="C72" s="1">
        <v>4000000</v>
      </c>
      <c r="D72">
        <f t="shared" si="12"/>
        <v>2.0299999999999998</v>
      </c>
      <c r="E72" s="1">
        <f t="shared" si="11"/>
        <v>20299.999999999996</v>
      </c>
      <c r="F72" s="1">
        <f t="shared" si="14"/>
        <v>197.04433497536948</v>
      </c>
      <c r="G72" s="1">
        <f t="shared" si="15"/>
        <v>98.52216748768474</v>
      </c>
      <c r="H72" s="1">
        <f t="shared" si="16"/>
        <v>39.4088669950739</v>
      </c>
      <c r="I72" s="1">
        <f t="shared" si="17"/>
        <v>19.70443349753695</v>
      </c>
      <c r="J72" s="1">
        <f t="shared" si="18"/>
        <v>13.136288998357966</v>
      </c>
      <c r="K72" s="1">
        <f t="shared" si="19"/>
        <v>6.5681444991789828</v>
      </c>
      <c r="L72" s="1">
        <f t="shared" si="20"/>
        <v>1.9704433497536951</v>
      </c>
      <c r="M72">
        <f t="shared" si="13"/>
        <v>12900</v>
      </c>
      <c r="N72" s="7"/>
    </row>
    <row r="73" spans="1:14" x14ac:dyDescent="0.25">
      <c r="A73">
        <f t="shared" si="21"/>
        <v>72</v>
      </c>
      <c r="B73" s="1">
        <v>57000000</v>
      </c>
      <c r="C73" s="1">
        <v>4000000</v>
      </c>
      <c r="D73">
        <f t="shared" si="12"/>
        <v>2.0499999999999998</v>
      </c>
      <c r="E73" s="1">
        <f t="shared" si="11"/>
        <v>20500</v>
      </c>
      <c r="F73" s="1">
        <f t="shared" si="14"/>
        <v>243.90243902439025</v>
      </c>
      <c r="G73" s="1">
        <f t="shared" si="15"/>
        <v>121.95121951219512</v>
      </c>
      <c r="H73" s="1">
        <f t="shared" si="16"/>
        <v>48.780487804878049</v>
      </c>
      <c r="I73" s="1">
        <f t="shared" si="17"/>
        <v>24.390243902439025</v>
      </c>
      <c r="J73" s="1">
        <f t="shared" si="18"/>
        <v>16.260162601626018</v>
      </c>
      <c r="K73" s="1">
        <f t="shared" si="19"/>
        <v>8.1300813008130088</v>
      </c>
      <c r="L73" s="1">
        <f t="shared" si="20"/>
        <v>2.4390243902439024</v>
      </c>
      <c r="M73">
        <f t="shared" si="13"/>
        <v>13000</v>
      </c>
      <c r="N73" s="7"/>
    </row>
    <row r="74" spans="1:14" x14ac:dyDescent="0.25">
      <c r="A74">
        <f t="shared" si="21"/>
        <v>73</v>
      </c>
      <c r="B74" s="1">
        <v>62000000</v>
      </c>
      <c r="C74" s="1">
        <v>5000000</v>
      </c>
      <c r="D74">
        <f t="shared" si="12"/>
        <v>2.0699999999999998</v>
      </c>
      <c r="E74" s="1">
        <f t="shared" si="11"/>
        <v>20700</v>
      </c>
      <c r="F74" s="1">
        <f t="shared" si="14"/>
        <v>241.54589371980677</v>
      </c>
      <c r="G74" s="1">
        <f t="shared" si="15"/>
        <v>120.77294685990339</v>
      </c>
      <c r="H74" s="1">
        <f t="shared" si="16"/>
        <v>48.309178743961354</v>
      </c>
      <c r="I74" s="1">
        <f t="shared" si="17"/>
        <v>24.154589371980677</v>
      </c>
      <c r="J74" s="1">
        <f t="shared" si="18"/>
        <v>16.103059581320451</v>
      </c>
      <c r="K74" s="1">
        <f t="shared" si="19"/>
        <v>8.0515297906602257</v>
      </c>
      <c r="L74" s="1">
        <f t="shared" si="20"/>
        <v>2.4154589371980677</v>
      </c>
      <c r="M74">
        <f t="shared" si="13"/>
        <v>13200</v>
      </c>
      <c r="N74" s="7"/>
    </row>
    <row r="75" spans="1:14" x14ac:dyDescent="0.25">
      <c r="A75">
        <f t="shared" si="21"/>
        <v>74</v>
      </c>
      <c r="B75" s="1">
        <v>67000000</v>
      </c>
      <c r="C75" s="1">
        <v>5000000</v>
      </c>
      <c r="D75">
        <f t="shared" si="12"/>
        <v>2.09</v>
      </c>
      <c r="E75" s="1">
        <f t="shared" si="11"/>
        <v>20900</v>
      </c>
      <c r="F75" s="1">
        <f t="shared" si="14"/>
        <v>287.08133971291863</v>
      </c>
      <c r="G75" s="1">
        <f t="shared" si="15"/>
        <v>143.54066985645932</v>
      </c>
      <c r="H75" s="1">
        <f t="shared" si="16"/>
        <v>57.41626794258373</v>
      </c>
      <c r="I75" s="1">
        <f t="shared" si="17"/>
        <v>28.708133971291865</v>
      </c>
      <c r="J75" s="1">
        <f t="shared" si="18"/>
        <v>19.138755980861244</v>
      </c>
      <c r="K75" s="1">
        <f t="shared" si="19"/>
        <v>9.5693779904306222</v>
      </c>
      <c r="L75" s="1">
        <f t="shared" si="20"/>
        <v>2.8708133971291865</v>
      </c>
      <c r="M75">
        <f t="shared" si="13"/>
        <v>13300</v>
      </c>
      <c r="N75" s="7"/>
    </row>
    <row r="76" spans="1:14" x14ac:dyDescent="0.25">
      <c r="A76">
        <f t="shared" si="21"/>
        <v>75</v>
      </c>
      <c r="B76" s="1">
        <v>73000000</v>
      </c>
      <c r="C76" s="1">
        <v>6000000</v>
      </c>
      <c r="D76">
        <f t="shared" si="12"/>
        <v>2.11</v>
      </c>
      <c r="E76" s="1">
        <f t="shared" si="11"/>
        <v>21100</v>
      </c>
      <c r="F76" s="1">
        <f t="shared" si="14"/>
        <v>284.36018957345971</v>
      </c>
      <c r="G76" s="1">
        <f t="shared" si="15"/>
        <v>142.18009478672985</v>
      </c>
      <c r="H76" s="1">
        <f t="shared" si="16"/>
        <v>56.872037914691944</v>
      </c>
      <c r="I76" s="1">
        <f t="shared" si="17"/>
        <v>28.436018957345972</v>
      </c>
      <c r="J76" s="1">
        <f t="shared" si="18"/>
        <v>18.957345971563981</v>
      </c>
      <c r="K76" s="1">
        <f t="shared" si="19"/>
        <v>9.4786729857819907</v>
      </c>
      <c r="L76" s="1">
        <f t="shared" si="20"/>
        <v>2.8436018957345972</v>
      </c>
      <c r="M76">
        <f t="shared" si="13"/>
        <v>13400</v>
      </c>
      <c r="N76" s="7"/>
    </row>
    <row r="77" spans="1:14" x14ac:dyDescent="0.25">
      <c r="A77">
        <f t="shared" si="21"/>
        <v>76</v>
      </c>
      <c r="B77" s="1">
        <v>79000000</v>
      </c>
      <c r="C77" s="1">
        <v>6000000</v>
      </c>
      <c r="D77">
        <f t="shared" si="12"/>
        <v>2.13</v>
      </c>
      <c r="E77" s="1">
        <f t="shared" si="11"/>
        <v>21300</v>
      </c>
      <c r="F77" s="1">
        <f t="shared" si="14"/>
        <v>281.6901408450704</v>
      </c>
      <c r="G77" s="1">
        <f t="shared" si="15"/>
        <v>140.8450704225352</v>
      </c>
      <c r="H77" s="1">
        <f t="shared" si="16"/>
        <v>56.338028169014088</v>
      </c>
      <c r="I77" s="1">
        <f t="shared" si="17"/>
        <v>28.169014084507044</v>
      </c>
      <c r="J77" s="1">
        <f t="shared" si="18"/>
        <v>18.779342723004696</v>
      </c>
      <c r="K77" s="1">
        <f t="shared" si="19"/>
        <v>9.3896713615023479</v>
      </c>
      <c r="L77" s="1">
        <f t="shared" si="20"/>
        <v>2.816901408450704</v>
      </c>
      <c r="M77">
        <f t="shared" si="13"/>
        <v>13500</v>
      </c>
      <c r="N77" s="7"/>
    </row>
    <row r="78" spans="1:14" x14ac:dyDescent="0.25">
      <c r="A78">
        <f t="shared" si="21"/>
        <v>77</v>
      </c>
      <c r="B78" s="1">
        <v>85000000</v>
      </c>
      <c r="C78" s="1">
        <v>6000000</v>
      </c>
      <c r="D78">
        <f t="shared" si="12"/>
        <v>2.15</v>
      </c>
      <c r="E78" s="1">
        <f t="shared" si="11"/>
        <v>21500</v>
      </c>
      <c r="F78" s="1">
        <f t="shared" si="14"/>
        <v>325.58139534883719</v>
      </c>
      <c r="G78" s="1">
        <f t="shared" si="15"/>
        <v>162.7906976744186</v>
      </c>
      <c r="H78" s="1">
        <f t="shared" si="16"/>
        <v>65.116279069767444</v>
      </c>
      <c r="I78" s="1">
        <f t="shared" si="17"/>
        <v>32.558139534883722</v>
      </c>
      <c r="J78" s="1">
        <f t="shared" si="18"/>
        <v>21.705426356589147</v>
      </c>
      <c r="K78" s="1">
        <f t="shared" si="19"/>
        <v>10.852713178294573</v>
      </c>
      <c r="L78" s="1">
        <f t="shared" si="20"/>
        <v>3.2558139534883721</v>
      </c>
      <c r="M78">
        <f t="shared" si="13"/>
        <v>13700</v>
      </c>
      <c r="N78" s="7"/>
    </row>
    <row r="79" spans="1:14" x14ac:dyDescent="0.25">
      <c r="A79">
        <f t="shared" si="21"/>
        <v>78</v>
      </c>
      <c r="B79" s="1">
        <v>92000000</v>
      </c>
      <c r="C79" s="1">
        <v>7000000</v>
      </c>
      <c r="D79">
        <f t="shared" si="12"/>
        <v>2.17</v>
      </c>
      <c r="E79" s="1">
        <f t="shared" si="11"/>
        <v>21700</v>
      </c>
      <c r="F79" s="1">
        <f t="shared" si="14"/>
        <v>322.58064516129031</v>
      </c>
      <c r="G79" s="1">
        <f t="shared" si="15"/>
        <v>161.29032258064515</v>
      </c>
      <c r="H79" s="1">
        <f t="shared" si="16"/>
        <v>64.516129032258064</v>
      </c>
      <c r="I79" s="1">
        <f t="shared" si="17"/>
        <v>32.258064516129032</v>
      </c>
      <c r="J79" s="1">
        <f t="shared" si="18"/>
        <v>21.50537634408602</v>
      </c>
      <c r="K79" s="1">
        <f t="shared" si="19"/>
        <v>10.75268817204301</v>
      </c>
      <c r="L79" s="1">
        <f t="shared" si="20"/>
        <v>3.225806451612903</v>
      </c>
      <c r="M79">
        <f t="shared" si="13"/>
        <v>13800</v>
      </c>
      <c r="N79" s="7"/>
    </row>
    <row r="80" spans="1:14" x14ac:dyDescent="0.25">
      <c r="A80">
        <f t="shared" si="21"/>
        <v>79</v>
      </c>
      <c r="B80" s="1">
        <v>99000000</v>
      </c>
      <c r="C80" s="1">
        <v>7000000</v>
      </c>
      <c r="D80">
        <f t="shared" si="12"/>
        <v>2.19</v>
      </c>
      <c r="E80" s="1">
        <f t="shared" si="11"/>
        <v>21900</v>
      </c>
      <c r="F80" s="1">
        <f t="shared" si="14"/>
        <v>365.29680365296804</v>
      </c>
      <c r="G80" s="1">
        <f t="shared" si="15"/>
        <v>182.64840182648402</v>
      </c>
      <c r="H80" s="1">
        <f t="shared" si="16"/>
        <v>73.05936073059361</v>
      </c>
      <c r="I80" s="1">
        <f t="shared" si="17"/>
        <v>36.529680365296805</v>
      </c>
      <c r="J80" s="1">
        <f t="shared" si="18"/>
        <v>24.353120243531201</v>
      </c>
      <c r="K80" s="1">
        <f t="shared" si="19"/>
        <v>12.176560121765601</v>
      </c>
      <c r="L80" s="1">
        <f t="shared" si="20"/>
        <v>3.6529680365296802</v>
      </c>
      <c r="M80">
        <f t="shared" si="13"/>
        <v>14000</v>
      </c>
      <c r="N80" s="7"/>
    </row>
    <row r="81" spans="1:14" x14ac:dyDescent="0.25">
      <c r="A81">
        <f t="shared" si="21"/>
        <v>80</v>
      </c>
      <c r="B81" s="1">
        <v>107000000</v>
      </c>
      <c r="C81" s="1">
        <v>8000000</v>
      </c>
      <c r="D81">
        <f t="shared" si="12"/>
        <v>2.2200000000000002</v>
      </c>
      <c r="E81" s="1">
        <f t="shared" si="11"/>
        <v>22200.000000000004</v>
      </c>
      <c r="F81" s="1">
        <f t="shared" si="14"/>
        <v>405.40540540540536</v>
      </c>
      <c r="G81" s="1">
        <f t="shared" si="15"/>
        <v>202.70270270270268</v>
      </c>
      <c r="H81" s="1">
        <f t="shared" si="16"/>
        <v>81.081081081081066</v>
      </c>
      <c r="I81" s="1">
        <f t="shared" si="17"/>
        <v>40.540540540540533</v>
      </c>
      <c r="J81" s="1">
        <f t="shared" si="18"/>
        <v>27.027027027027021</v>
      </c>
      <c r="K81" s="1">
        <f t="shared" si="19"/>
        <v>13.51351351351351</v>
      </c>
      <c r="L81" s="1">
        <f t="shared" si="20"/>
        <v>4.0540540540540535</v>
      </c>
      <c r="M81">
        <f t="shared" si="13"/>
        <v>14100</v>
      </c>
      <c r="N81" s="7"/>
    </row>
    <row r="82" spans="1:14" x14ac:dyDescent="0.25">
      <c r="A82">
        <f t="shared" si="21"/>
        <v>81</v>
      </c>
      <c r="B82" s="1">
        <v>116000000</v>
      </c>
      <c r="C82" s="1">
        <v>9000000</v>
      </c>
      <c r="D82">
        <f t="shared" si="12"/>
        <v>2.2400000000000002</v>
      </c>
      <c r="E82" s="1">
        <f t="shared" si="11"/>
        <v>22400.000000000004</v>
      </c>
      <c r="F82" s="1">
        <f t="shared" si="14"/>
        <v>401.78571428571422</v>
      </c>
      <c r="G82" s="1">
        <f t="shared" si="15"/>
        <v>200.89285714285711</v>
      </c>
      <c r="H82" s="1">
        <f t="shared" si="16"/>
        <v>80.357142857142847</v>
      </c>
      <c r="I82" s="1">
        <f t="shared" si="17"/>
        <v>40.178571428571423</v>
      </c>
      <c r="J82" s="1">
        <f t="shared" si="18"/>
        <v>26.785714285714281</v>
      </c>
      <c r="K82" s="1">
        <f t="shared" si="19"/>
        <v>13.392857142857141</v>
      </c>
      <c r="L82" s="1">
        <f t="shared" si="20"/>
        <v>4.0178571428571423</v>
      </c>
      <c r="M82">
        <f t="shared" si="13"/>
        <v>14200</v>
      </c>
      <c r="N82" s="7"/>
    </row>
    <row r="83" spans="1:14" x14ac:dyDescent="0.25">
      <c r="A83">
        <f t="shared" si="21"/>
        <v>82</v>
      </c>
      <c r="B83" s="1">
        <v>125000000</v>
      </c>
      <c r="C83" s="1">
        <v>9000000</v>
      </c>
      <c r="D83">
        <f t="shared" si="12"/>
        <v>2.2599999999999998</v>
      </c>
      <c r="E83" s="1">
        <f t="shared" si="11"/>
        <v>22599.999999999996</v>
      </c>
      <c r="F83" s="1">
        <f t="shared" si="14"/>
        <v>442.47787610619474</v>
      </c>
      <c r="G83" s="1">
        <f t="shared" si="15"/>
        <v>221.23893805309737</v>
      </c>
      <c r="H83" s="1">
        <f t="shared" si="16"/>
        <v>88.495575221238951</v>
      </c>
      <c r="I83" s="1">
        <f t="shared" si="17"/>
        <v>44.247787610619476</v>
      </c>
      <c r="J83" s="1">
        <f t="shared" si="18"/>
        <v>29.498525073746318</v>
      </c>
      <c r="K83" s="1">
        <f t="shared" si="19"/>
        <v>14.749262536873159</v>
      </c>
      <c r="L83" s="1">
        <f t="shared" si="20"/>
        <v>4.4247787610619476</v>
      </c>
      <c r="M83">
        <f t="shared" si="13"/>
        <v>14400</v>
      </c>
      <c r="N83" s="7"/>
    </row>
    <row r="84" spans="1:14" x14ac:dyDescent="0.25">
      <c r="A84">
        <f t="shared" si="21"/>
        <v>83</v>
      </c>
      <c r="B84" s="1">
        <v>135000000</v>
      </c>
      <c r="C84" s="1">
        <v>10000000</v>
      </c>
      <c r="D84">
        <f t="shared" si="12"/>
        <v>2.2799999999999998</v>
      </c>
      <c r="E84" s="1">
        <f t="shared" si="11"/>
        <v>22799.999999999996</v>
      </c>
      <c r="F84" s="1">
        <f t="shared" si="14"/>
        <v>438.59649122807025</v>
      </c>
      <c r="G84" s="1">
        <f t="shared" si="15"/>
        <v>219.29824561403512</v>
      </c>
      <c r="H84" s="1">
        <f t="shared" si="16"/>
        <v>87.719298245614041</v>
      </c>
      <c r="I84" s="1">
        <f t="shared" si="17"/>
        <v>43.859649122807021</v>
      </c>
      <c r="J84" s="1">
        <f t="shared" si="18"/>
        <v>29.239766081871348</v>
      </c>
      <c r="K84" s="1">
        <f t="shared" si="19"/>
        <v>14.619883040935674</v>
      </c>
      <c r="L84" s="1">
        <f t="shared" si="20"/>
        <v>4.385964912280703</v>
      </c>
      <c r="M84">
        <f t="shared" si="13"/>
        <v>14600</v>
      </c>
      <c r="N84" s="7"/>
    </row>
    <row r="85" spans="1:14" x14ac:dyDescent="0.25">
      <c r="A85">
        <f t="shared" si="21"/>
        <v>84</v>
      </c>
      <c r="B85" s="1">
        <v>145000000</v>
      </c>
      <c r="C85" s="1">
        <v>10000000</v>
      </c>
      <c r="D85">
        <f t="shared" si="12"/>
        <v>2.31</v>
      </c>
      <c r="E85" s="1">
        <f t="shared" si="11"/>
        <v>23100</v>
      </c>
      <c r="F85" s="1">
        <f t="shared" si="14"/>
        <v>432.90043290043292</v>
      </c>
      <c r="G85" s="1">
        <f t="shared" si="15"/>
        <v>216.45021645021646</v>
      </c>
      <c r="H85" s="1">
        <f t="shared" si="16"/>
        <v>86.580086580086586</v>
      </c>
      <c r="I85" s="1">
        <f t="shared" si="17"/>
        <v>43.290043290043293</v>
      </c>
      <c r="J85" s="1">
        <f t="shared" si="18"/>
        <v>28.860028860028859</v>
      </c>
      <c r="K85" s="1">
        <f t="shared" si="19"/>
        <v>14.430014430014429</v>
      </c>
      <c r="L85" s="1">
        <f t="shared" si="20"/>
        <v>4.329004329004329</v>
      </c>
      <c r="M85">
        <f t="shared" si="13"/>
        <v>14700</v>
      </c>
      <c r="N85" s="7"/>
    </row>
    <row r="86" spans="1:14" x14ac:dyDescent="0.25">
      <c r="A86">
        <f t="shared" si="21"/>
        <v>85</v>
      </c>
      <c r="B86" s="1">
        <v>155000000</v>
      </c>
      <c r="C86" s="1">
        <v>10000000</v>
      </c>
      <c r="D86">
        <f t="shared" si="12"/>
        <v>2.33</v>
      </c>
      <c r="E86" s="1">
        <f t="shared" si="11"/>
        <v>23300</v>
      </c>
      <c r="F86" s="1">
        <f t="shared" si="14"/>
        <v>429.18454935622316</v>
      </c>
      <c r="G86" s="1">
        <f t="shared" si="15"/>
        <v>214.59227467811158</v>
      </c>
      <c r="H86" s="1">
        <f t="shared" si="16"/>
        <v>85.836909871244629</v>
      </c>
      <c r="I86" s="1">
        <f t="shared" si="17"/>
        <v>42.918454935622314</v>
      </c>
      <c r="J86" s="1">
        <f t="shared" si="18"/>
        <v>28.612303290414879</v>
      </c>
      <c r="K86" s="1">
        <f t="shared" si="19"/>
        <v>14.306151645207439</v>
      </c>
      <c r="L86" s="1">
        <f t="shared" si="20"/>
        <v>4.2918454935622314</v>
      </c>
      <c r="M86">
        <f t="shared" si="13"/>
        <v>14800</v>
      </c>
      <c r="N86" s="7"/>
    </row>
    <row r="87" spans="1:14" x14ac:dyDescent="0.25">
      <c r="A87">
        <f t="shared" si="21"/>
        <v>86</v>
      </c>
      <c r="B87" s="1">
        <v>165000000</v>
      </c>
      <c r="C87" s="1">
        <v>10000000</v>
      </c>
      <c r="D87">
        <f t="shared" si="12"/>
        <v>2.35</v>
      </c>
      <c r="E87" s="1">
        <f t="shared" si="11"/>
        <v>23500</v>
      </c>
      <c r="F87" s="1">
        <f t="shared" si="14"/>
        <v>425.531914893617</v>
      </c>
      <c r="G87" s="1">
        <f t="shared" si="15"/>
        <v>212.7659574468085</v>
      </c>
      <c r="H87" s="1">
        <f t="shared" si="16"/>
        <v>85.106382978723403</v>
      </c>
      <c r="I87" s="1">
        <f t="shared" si="17"/>
        <v>42.553191489361701</v>
      </c>
      <c r="J87" s="1">
        <f t="shared" si="18"/>
        <v>28.368794326241133</v>
      </c>
      <c r="K87" s="1">
        <f t="shared" si="19"/>
        <v>14.184397163120567</v>
      </c>
      <c r="L87" s="1">
        <f t="shared" si="20"/>
        <v>4.2553191489361701</v>
      </c>
      <c r="M87">
        <f t="shared" si="13"/>
        <v>15000</v>
      </c>
      <c r="N87" s="7"/>
    </row>
    <row r="88" spans="1:14" x14ac:dyDescent="0.25">
      <c r="A88">
        <f t="shared" si="21"/>
        <v>87</v>
      </c>
      <c r="B88" s="1">
        <v>175000000</v>
      </c>
      <c r="C88" s="1">
        <v>10000000</v>
      </c>
      <c r="D88">
        <f t="shared" si="12"/>
        <v>2.38</v>
      </c>
      <c r="E88" s="1">
        <f t="shared" si="11"/>
        <v>23800</v>
      </c>
      <c r="F88" s="1">
        <f t="shared" si="14"/>
        <v>630.25210084033608</v>
      </c>
      <c r="G88" s="1">
        <f t="shared" si="15"/>
        <v>315.12605042016804</v>
      </c>
      <c r="H88" s="1">
        <f t="shared" si="16"/>
        <v>126.05042016806723</v>
      </c>
      <c r="I88" s="1">
        <f t="shared" si="17"/>
        <v>63.025210084033617</v>
      </c>
      <c r="J88" s="1">
        <f t="shared" si="18"/>
        <v>42.016806722689076</v>
      </c>
      <c r="K88" s="1">
        <f t="shared" si="19"/>
        <v>21.008403361344538</v>
      </c>
      <c r="L88" s="1">
        <f t="shared" si="20"/>
        <v>6.3025210084033612</v>
      </c>
      <c r="M88">
        <f t="shared" si="13"/>
        <v>15100</v>
      </c>
      <c r="N88" s="7"/>
    </row>
    <row r="89" spans="1:14" x14ac:dyDescent="0.25">
      <c r="A89">
        <f t="shared" si="21"/>
        <v>88</v>
      </c>
      <c r="B89" s="1">
        <v>190000000</v>
      </c>
      <c r="C89" s="1">
        <v>15000000</v>
      </c>
      <c r="D89">
        <f t="shared" si="12"/>
        <v>2.4</v>
      </c>
      <c r="E89" s="1">
        <f t="shared" si="11"/>
        <v>24000</v>
      </c>
      <c r="F89" s="1">
        <f t="shared" si="14"/>
        <v>833.33333333333337</v>
      </c>
      <c r="G89" s="1">
        <f t="shared" si="15"/>
        <v>416.66666666666669</v>
      </c>
      <c r="H89" s="1">
        <f t="shared" si="16"/>
        <v>166.66666666666666</v>
      </c>
      <c r="I89" s="1">
        <f t="shared" si="17"/>
        <v>83.333333333333329</v>
      </c>
      <c r="J89" s="1">
        <f t="shared" si="18"/>
        <v>55.555555555555557</v>
      </c>
      <c r="K89" s="1">
        <f t="shared" si="19"/>
        <v>27.777777777777779</v>
      </c>
      <c r="L89" s="1">
        <f t="shared" si="20"/>
        <v>8.3333333333333339</v>
      </c>
      <c r="M89">
        <f t="shared" si="13"/>
        <v>15200</v>
      </c>
      <c r="N89" s="7"/>
    </row>
    <row r="90" spans="1:14" x14ac:dyDescent="0.25">
      <c r="A90">
        <f t="shared" si="21"/>
        <v>89</v>
      </c>
      <c r="B90" s="1">
        <v>210000000</v>
      </c>
      <c r="C90" s="1">
        <v>20000000</v>
      </c>
      <c r="D90">
        <f t="shared" si="12"/>
        <v>2.42</v>
      </c>
      <c r="E90" s="1">
        <f t="shared" si="11"/>
        <v>24200</v>
      </c>
      <c r="F90" s="1">
        <f t="shared" si="14"/>
        <v>826.44628099173553</v>
      </c>
      <c r="G90" s="1">
        <f t="shared" si="15"/>
        <v>413.22314049586777</v>
      </c>
      <c r="H90" s="1">
        <f t="shared" si="16"/>
        <v>165.28925619834712</v>
      </c>
      <c r="I90" s="1">
        <f t="shared" si="17"/>
        <v>82.644628099173559</v>
      </c>
      <c r="J90" s="1">
        <f t="shared" si="18"/>
        <v>55.096418732782368</v>
      </c>
      <c r="K90" s="1">
        <f t="shared" si="19"/>
        <v>27.548209366391184</v>
      </c>
      <c r="L90" s="1">
        <f t="shared" si="20"/>
        <v>8.2644628099173545</v>
      </c>
      <c r="M90">
        <f t="shared" si="13"/>
        <v>15400</v>
      </c>
      <c r="N90" s="7"/>
    </row>
    <row r="91" spans="1:14" x14ac:dyDescent="0.25">
      <c r="A91">
        <f t="shared" si="21"/>
        <v>90</v>
      </c>
      <c r="B91" s="1">
        <v>230000000</v>
      </c>
      <c r="C91" s="1">
        <v>20000000</v>
      </c>
      <c r="D91">
        <f t="shared" si="12"/>
        <v>2.4500000000000002</v>
      </c>
      <c r="E91" s="1">
        <f t="shared" si="11"/>
        <v>24500</v>
      </c>
      <c r="F91" s="1">
        <f t="shared" si="14"/>
        <v>816.32653061224494</v>
      </c>
      <c r="G91" s="1">
        <f t="shared" si="15"/>
        <v>408.16326530612247</v>
      </c>
      <c r="H91" s="1">
        <f t="shared" si="16"/>
        <v>163.26530612244898</v>
      </c>
      <c r="I91" s="1">
        <f t="shared" si="17"/>
        <v>81.632653061224488</v>
      </c>
      <c r="J91" s="1">
        <f t="shared" si="18"/>
        <v>54.42176870748299</v>
      </c>
      <c r="K91" s="1">
        <f t="shared" si="19"/>
        <v>27.210884353741495</v>
      </c>
      <c r="L91" s="1">
        <f t="shared" si="20"/>
        <v>8.1632653061224492</v>
      </c>
      <c r="M91">
        <f t="shared" si="13"/>
        <v>15600</v>
      </c>
      <c r="N91" s="7"/>
    </row>
    <row r="92" spans="1:14" x14ac:dyDescent="0.25">
      <c r="A92">
        <f t="shared" si="21"/>
        <v>91</v>
      </c>
      <c r="B92" s="1">
        <v>250000000</v>
      </c>
      <c r="C92" s="1">
        <v>20000000</v>
      </c>
      <c r="D92">
        <f t="shared" si="12"/>
        <v>2.4700000000000002</v>
      </c>
      <c r="E92" s="1">
        <f t="shared" si="11"/>
        <v>24700.000000000004</v>
      </c>
      <c r="F92" s="1">
        <f t="shared" si="14"/>
        <v>809.71659919028332</v>
      </c>
      <c r="G92" s="1">
        <f t="shared" si="15"/>
        <v>404.85829959514166</v>
      </c>
      <c r="H92" s="1">
        <f t="shared" si="16"/>
        <v>161.94331983805665</v>
      </c>
      <c r="I92" s="1">
        <f t="shared" si="17"/>
        <v>80.971659919028326</v>
      </c>
      <c r="J92" s="1">
        <f t="shared" si="18"/>
        <v>53.981106612685551</v>
      </c>
      <c r="K92" s="1">
        <f t="shared" si="19"/>
        <v>26.990553306342775</v>
      </c>
      <c r="L92" s="1">
        <f t="shared" si="20"/>
        <v>8.0971659919028323</v>
      </c>
      <c r="M92">
        <f t="shared" si="13"/>
        <v>15800</v>
      </c>
      <c r="N92" s="7"/>
    </row>
    <row r="93" spans="1:14" x14ac:dyDescent="0.25">
      <c r="A93">
        <f t="shared" si="21"/>
        <v>92</v>
      </c>
      <c r="B93" s="1">
        <v>270000000</v>
      </c>
      <c r="C93" s="1">
        <v>20000000</v>
      </c>
      <c r="D93">
        <f t="shared" si="12"/>
        <v>2.5</v>
      </c>
      <c r="E93" s="1">
        <f t="shared" si="11"/>
        <v>25000</v>
      </c>
      <c r="F93" s="1">
        <f t="shared" si="14"/>
        <v>800</v>
      </c>
      <c r="G93" s="1">
        <f t="shared" si="15"/>
        <v>400</v>
      </c>
      <c r="H93" s="1">
        <f t="shared" si="16"/>
        <v>160</v>
      </c>
      <c r="I93" s="1">
        <f t="shared" si="17"/>
        <v>80</v>
      </c>
      <c r="J93" s="1">
        <f t="shared" si="18"/>
        <v>53.333333333333336</v>
      </c>
      <c r="K93" s="1">
        <f t="shared" si="19"/>
        <v>26.666666666666668</v>
      </c>
      <c r="L93" s="1">
        <f t="shared" si="20"/>
        <v>8</v>
      </c>
      <c r="M93">
        <f t="shared" si="13"/>
        <v>15900</v>
      </c>
      <c r="N93" s="7"/>
    </row>
    <row r="94" spans="1:14" x14ac:dyDescent="0.25">
      <c r="A94">
        <f t="shared" si="21"/>
        <v>93</v>
      </c>
      <c r="B94" s="1">
        <v>290000000</v>
      </c>
      <c r="C94" s="1">
        <v>20000000</v>
      </c>
      <c r="D94">
        <f t="shared" si="12"/>
        <v>2.52</v>
      </c>
      <c r="E94" s="1">
        <f t="shared" si="11"/>
        <v>25200</v>
      </c>
      <c r="F94" s="1">
        <f t="shared" si="14"/>
        <v>793.65079365079362</v>
      </c>
      <c r="G94" s="1">
        <f t="shared" si="15"/>
        <v>396.82539682539681</v>
      </c>
      <c r="H94" s="1">
        <f t="shared" si="16"/>
        <v>158.73015873015873</v>
      </c>
      <c r="I94" s="1">
        <f t="shared" si="17"/>
        <v>79.365079365079367</v>
      </c>
      <c r="J94" s="1">
        <f t="shared" si="18"/>
        <v>52.910052910052912</v>
      </c>
      <c r="K94" s="1">
        <f t="shared" si="19"/>
        <v>26.455026455026456</v>
      </c>
      <c r="L94" s="1">
        <f t="shared" si="20"/>
        <v>7.9365079365079367</v>
      </c>
      <c r="M94">
        <f t="shared" si="13"/>
        <v>16100</v>
      </c>
      <c r="N94" s="7"/>
    </row>
    <row r="95" spans="1:14" x14ac:dyDescent="0.25">
      <c r="A95">
        <f t="shared" si="21"/>
        <v>94</v>
      </c>
      <c r="B95" s="1">
        <v>310000000</v>
      </c>
      <c r="C95" s="1">
        <v>20000000</v>
      </c>
      <c r="D95">
        <f t="shared" si="12"/>
        <v>2.5499999999999998</v>
      </c>
      <c r="E95" s="1">
        <f t="shared" si="11"/>
        <v>25500</v>
      </c>
      <c r="F95" s="1">
        <f t="shared" si="14"/>
        <v>1176.4705882352941</v>
      </c>
      <c r="G95" s="1">
        <f t="shared" si="15"/>
        <v>588.23529411764707</v>
      </c>
      <c r="H95" s="1">
        <f t="shared" si="16"/>
        <v>235.29411764705881</v>
      </c>
      <c r="I95" s="1">
        <f t="shared" si="17"/>
        <v>117.64705882352941</v>
      </c>
      <c r="J95" s="1">
        <f t="shared" si="18"/>
        <v>78.431372549019613</v>
      </c>
      <c r="K95" s="1">
        <f t="shared" si="19"/>
        <v>39.215686274509807</v>
      </c>
      <c r="L95" s="1">
        <f t="shared" si="20"/>
        <v>11.764705882352942</v>
      </c>
      <c r="M95">
        <f t="shared" si="13"/>
        <v>16200</v>
      </c>
      <c r="N95" s="7"/>
    </row>
    <row r="96" spans="1:14" x14ac:dyDescent="0.25">
      <c r="A96">
        <f t="shared" si="21"/>
        <v>95</v>
      </c>
      <c r="B96" s="1">
        <v>340000000</v>
      </c>
      <c r="C96" s="1">
        <v>30000000</v>
      </c>
      <c r="D96">
        <f t="shared" si="12"/>
        <v>2.57</v>
      </c>
      <c r="E96" s="1">
        <f t="shared" si="11"/>
        <v>25700</v>
      </c>
      <c r="F96" s="1">
        <f t="shared" si="14"/>
        <v>1167.3151750972763</v>
      </c>
      <c r="G96" s="1">
        <f t="shared" si="15"/>
        <v>583.65758754863816</v>
      </c>
      <c r="H96" s="1">
        <f t="shared" si="16"/>
        <v>233.46303501945525</v>
      </c>
      <c r="I96" s="1">
        <f t="shared" si="17"/>
        <v>116.73151750972762</v>
      </c>
      <c r="J96" s="1">
        <f t="shared" si="18"/>
        <v>77.821011673151745</v>
      </c>
      <c r="K96" s="1">
        <f t="shared" si="19"/>
        <v>38.910505836575872</v>
      </c>
      <c r="L96" s="1">
        <f t="shared" si="20"/>
        <v>11.673151750972762</v>
      </c>
      <c r="M96">
        <f t="shared" si="13"/>
        <v>16400</v>
      </c>
      <c r="N96" s="7"/>
    </row>
    <row r="97" spans="1:14" x14ac:dyDescent="0.25">
      <c r="A97">
        <f t="shared" si="21"/>
        <v>96</v>
      </c>
      <c r="B97" s="1">
        <v>370000000</v>
      </c>
      <c r="C97" s="1">
        <v>30000000</v>
      </c>
      <c r="D97">
        <f t="shared" si="12"/>
        <v>2.6</v>
      </c>
      <c r="E97" s="1">
        <f t="shared" si="11"/>
        <v>26000</v>
      </c>
      <c r="F97" s="1">
        <f t="shared" si="14"/>
        <v>1153.8461538461538</v>
      </c>
      <c r="G97" s="1">
        <f t="shared" si="15"/>
        <v>576.92307692307691</v>
      </c>
      <c r="H97" s="1">
        <f t="shared" si="16"/>
        <v>230.76923076923077</v>
      </c>
      <c r="I97" s="1">
        <f t="shared" si="17"/>
        <v>115.38461538461539</v>
      </c>
      <c r="J97" s="1">
        <f t="shared" si="18"/>
        <v>76.92307692307692</v>
      </c>
      <c r="K97" s="1">
        <f t="shared" si="19"/>
        <v>38.46153846153846</v>
      </c>
      <c r="L97" s="1">
        <f t="shared" si="20"/>
        <v>11.538461538461538</v>
      </c>
      <c r="M97">
        <f t="shared" si="13"/>
        <v>16600</v>
      </c>
      <c r="N97" s="7"/>
    </row>
    <row r="98" spans="1:14" x14ac:dyDescent="0.25">
      <c r="A98">
        <f t="shared" si="21"/>
        <v>97</v>
      </c>
      <c r="B98" s="1">
        <v>400000000</v>
      </c>
      <c r="C98" s="1">
        <v>30000000</v>
      </c>
      <c r="D98">
        <f t="shared" si="12"/>
        <v>2.63</v>
      </c>
      <c r="E98" s="1">
        <f t="shared" si="11"/>
        <v>26300</v>
      </c>
      <c r="F98" s="1">
        <f t="shared" si="14"/>
        <v>1140.6844106463877</v>
      </c>
      <c r="G98" s="1">
        <f t="shared" si="15"/>
        <v>570.34220532319387</v>
      </c>
      <c r="H98" s="1">
        <f t="shared" si="16"/>
        <v>228.13688212927758</v>
      </c>
      <c r="I98" s="1">
        <f t="shared" si="17"/>
        <v>114.06844106463879</v>
      </c>
      <c r="J98" s="1">
        <f t="shared" si="18"/>
        <v>76.045627376425855</v>
      </c>
      <c r="K98" s="1">
        <f t="shared" si="19"/>
        <v>38.022813688212928</v>
      </c>
      <c r="L98" s="1">
        <f t="shared" si="20"/>
        <v>11.406844106463879</v>
      </c>
      <c r="M98">
        <f t="shared" si="13"/>
        <v>16700</v>
      </c>
      <c r="N98" s="7"/>
    </row>
    <row r="99" spans="1:14" x14ac:dyDescent="0.25">
      <c r="A99">
        <f t="shared" si="21"/>
        <v>98</v>
      </c>
      <c r="B99" s="1">
        <v>430000000</v>
      </c>
      <c r="C99" s="1">
        <v>30000000</v>
      </c>
      <c r="D99">
        <f t="shared" si="12"/>
        <v>2.65</v>
      </c>
      <c r="E99" s="1">
        <f t="shared" si="11"/>
        <v>26500</v>
      </c>
      <c r="F99" s="1">
        <f t="shared" si="14"/>
        <v>1132.0754716981132</v>
      </c>
      <c r="G99" s="1">
        <f t="shared" si="15"/>
        <v>566.03773584905662</v>
      </c>
      <c r="H99" s="1">
        <f t="shared" si="16"/>
        <v>226.41509433962264</v>
      </c>
      <c r="I99" s="1">
        <f t="shared" si="17"/>
        <v>113.20754716981132</v>
      </c>
      <c r="J99" s="1">
        <f t="shared" si="18"/>
        <v>75.471698113207552</v>
      </c>
      <c r="K99" s="1">
        <f t="shared" si="19"/>
        <v>37.735849056603776</v>
      </c>
      <c r="L99" s="1">
        <f t="shared" si="20"/>
        <v>11.320754716981131</v>
      </c>
      <c r="M99">
        <f t="shared" si="13"/>
        <v>16900</v>
      </c>
      <c r="N99" s="7"/>
    </row>
    <row r="100" spans="1:14" x14ac:dyDescent="0.25">
      <c r="A100">
        <f t="shared" si="21"/>
        <v>99</v>
      </c>
      <c r="B100" s="1">
        <v>460000000</v>
      </c>
      <c r="C100" s="1">
        <v>30000000</v>
      </c>
      <c r="D100">
        <f t="shared" si="12"/>
        <v>2.68</v>
      </c>
      <c r="E100" s="1">
        <f t="shared" si="11"/>
        <v>26800</v>
      </c>
      <c r="F100" s="1">
        <f t="shared" si="14"/>
        <v>1492.5373134328358</v>
      </c>
      <c r="G100" s="1">
        <f t="shared" si="15"/>
        <v>746.26865671641792</v>
      </c>
      <c r="H100" s="1">
        <f t="shared" si="16"/>
        <v>298.50746268656718</v>
      </c>
      <c r="I100" s="1">
        <f t="shared" si="17"/>
        <v>149.25373134328359</v>
      </c>
      <c r="J100" s="1">
        <f t="shared" si="18"/>
        <v>99.50248756218906</v>
      </c>
      <c r="K100" s="1">
        <f t="shared" si="19"/>
        <v>49.75124378109453</v>
      </c>
      <c r="L100" s="1">
        <f t="shared" si="20"/>
        <v>14.925373134328359</v>
      </c>
      <c r="M100">
        <f t="shared" si="13"/>
        <v>20000</v>
      </c>
      <c r="N100" s="7"/>
    </row>
    <row r="101" spans="1:14" x14ac:dyDescent="0.25">
      <c r="A101">
        <f t="shared" si="21"/>
        <v>100</v>
      </c>
      <c r="B101" s="1">
        <v>500000000</v>
      </c>
      <c r="C101" s="1">
        <v>40000000</v>
      </c>
      <c r="D101">
        <f t="shared" si="12"/>
        <v>2.7</v>
      </c>
      <c r="E101" s="1">
        <f t="shared" si="11"/>
        <v>27000</v>
      </c>
      <c r="F101" s="1">
        <f t="shared" si="14"/>
        <v>1481.4814814814815</v>
      </c>
      <c r="G101" s="1">
        <f t="shared" si="15"/>
        <v>740.74074074074076</v>
      </c>
      <c r="H101" s="1">
        <f t="shared" si="16"/>
        <v>296.2962962962963</v>
      </c>
      <c r="I101" s="1">
        <f t="shared" si="17"/>
        <v>148.14814814814815</v>
      </c>
      <c r="J101" s="1">
        <f t="shared" si="18"/>
        <v>98.76543209876543</v>
      </c>
      <c r="K101" s="1">
        <f t="shared" si="19"/>
        <v>49.382716049382715</v>
      </c>
      <c r="L101" s="1">
        <f t="shared" si="20"/>
        <v>14.814814814814815</v>
      </c>
      <c r="M101">
        <f t="shared" si="13"/>
        <v>20000</v>
      </c>
      <c r="N101" s="7"/>
    </row>
    <row r="102" spans="1:14" x14ac:dyDescent="0.25">
      <c r="A102">
        <f t="shared" si="21"/>
        <v>101</v>
      </c>
      <c r="B102" s="1">
        <v>540000000</v>
      </c>
      <c r="C102" s="1">
        <v>40000000</v>
      </c>
      <c r="D102">
        <f t="shared" si="12"/>
        <v>2.73</v>
      </c>
      <c r="E102" s="1">
        <f t="shared" si="11"/>
        <v>27300</v>
      </c>
      <c r="F102" s="1">
        <f t="shared" si="14"/>
        <v>1465.2014652014652</v>
      </c>
      <c r="G102" s="1">
        <f t="shared" si="15"/>
        <v>732.60073260073261</v>
      </c>
      <c r="H102" s="1">
        <f t="shared" si="16"/>
        <v>293.04029304029302</v>
      </c>
      <c r="I102" s="1">
        <f t="shared" si="17"/>
        <v>146.52014652014651</v>
      </c>
      <c r="J102" s="1">
        <f t="shared" si="18"/>
        <v>97.680097680097674</v>
      </c>
      <c r="K102" s="1">
        <f t="shared" si="19"/>
        <v>48.840048840048837</v>
      </c>
      <c r="L102" s="1">
        <f t="shared" si="20"/>
        <v>14.652014652014651</v>
      </c>
      <c r="M102">
        <f t="shared" si="13"/>
        <v>20000</v>
      </c>
      <c r="N102" s="7"/>
    </row>
    <row r="103" spans="1:14" x14ac:dyDescent="0.25">
      <c r="A103">
        <f t="shared" si="21"/>
        <v>102</v>
      </c>
      <c r="B103" s="1">
        <v>580000000</v>
      </c>
      <c r="C103" s="1">
        <v>40000000</v>
      </c>
      <c r="D103">
        <f t="shared" si="12"/>
        <v>2.76</v>
      </c>
      <c r="E103" s="1">
        <f t="shared" si="11"/>
        <v>27599.999999999996</v>
      </c>
      <c r="F103" s="1">
        <f t="shared" si="14"/>
        <v>1811.594202898551</v>
      </c>
      <c r="G103" s="1">
        <f t="shared" si="15"/>
        <v>905.79710144927549</v>
      </c>
      <c r="H103" s="1">
        <f t="shared" si="16"/>
        <v>362.31884057971024</v>
      </c>
      <c r="I103" s="1">
        <f t="shared" si="17"/>
        <v>181.15942028985512</v>
      </c>
      <c r="J103" s="1">
        <f t="shared" si="18"/>
        <v>120.7729468599034</v>
      </c>
      <c r="K103" s="1">
        <f t="shared" si="19"/>
        <v>60.3864734299517</v>
      </c>
      <c r="L103" s="1">
        <f t="shared" si="20"/>
        <v>18.115942028985511</v>
      </c>
      <c r="M103">
        <f t="shared" si="13"/>
        <v>25000</v>
      </c>
      <c r="N103" s="7"/>
    </row>
    <row r="104" spans="1:14" x14ac:dyDescent="0.25">
      <c r="A104">
        <f t="shared" si="21"/>
        <v>103</v>
      </c>
      <c r="B104" s="1">
        <v>630000000</v>
      </c>
      <c r="C104" s="1">
        <v>50000000</v>
      </c>
      <c r="D104">
        <f t="shared" si="12"/>
        <v>2.79</v>
      </c>
      <c r="E104" s="1">
        <f t="shared" si="11"/>
        <v>27900</v>
      </c>
      <c r="F104" s="1">
        <f t="shared" si="14"/>
        <v>1792.1146953405018</v>
      </c>
      <c r="G104" s="1">
        <f t="shared" si="15"/>
        <v>896.05734767025092</v>
      </c>
      <c r="H104" s="1">
        <f t="shared" si="16"/>
        <v>358.42293906810033</v>
      </c>
      <c r="I104" s="1">
        <f t="shared" si="17"/>
        <v>179.21146953405017</v>
      </c>
      <c r="J104" s="1">
        <f t="shared" si="18"/>
        <v>119.47431302270012</v>
      </c>
      <c r="K104" s="1">
        <f t="shared" si="19"/>
        <v>59.737156511350058</v>
      </c>
      <c r="L104" s="1">
        <f t="shared" si="20"/>
        <v>17.921146953405017</v>
      </c>
      <c r="M104">
        <f t="shared" si="13"/>
        <v>25000</v>
      </c>
      <c r="N104" s="7"/>
    </row>
    <row r="105" spans="1:14" x14ac:dyDescent="0.25">
      <c r="A105">
        <f t="shared" si="21"/>
        <v>104</v>
      </c>
      <c r="B105" s="1">
        <v>680000000</v>
      </c>
      <c r="C105" s="1">
        <v>50000000</v>
      </c>
      <c r="D105">
        <f t="shared" si="12"/>
        <v>2.81</v>
      </c>
      <c r="E105" s="1">
        <f t="shared" si="11"/>
        <v>28100</v>
      </c>
      <c r="F105" s="1">
        <f t="shared" si="14"/>
        <v>2135.2313167259786</v>
      </c>
      <c r="G105" s="1">
        <f t="shared" si="15"/>
        <v>1067.6156583629893</v>
      </c>
      <c r="H105" s="1">
        <f t="shared" si="16"/>
        <v>427.04626334519571</v>
      </c>
      <c r="I105" s="1">
        <f t="shared" si="17"/>
        <v>213.52313167259786</v>
      </c>
      <c r="J105" s="1">
        <f t="shared" si="18"/>
        <v>142.34875444839858</v>
      </c>
      <c r="K105" s="1">
        <f t="shared" si="19"/>
        <v>71.17437722419929</v>
      </c>
      <c r="L105" s="1">
        <f t="shared" si="20"/>
        <v>21.352313167259787</v>
      </c>
      <c r="M105">
        <f t="shared" si="13"/>
        <v>30000</v>
      </c>
      <c r="N105" s="7"/>
    </row>
    <row r="106" spans="1:14" x14ac:dyDescent="0.25">
      <c r="A106">
        <f t="shared" si="21"/>
        <v>105</v>
      </c>
      <c r="B106" s="1">
        <v>740000000</v>
      </c>
      <c r="C106" s="1">
        <v>60000000</v>
      </c>
      <c r="D106">
        <f t="shared" si="12"/>
        <v>2.84</v>
      </c>
      <c r="E106" s="1">
        <f t="shared" si="11"/>
        <v>28400</v>
      </c>
      <c r="F106" s="1">
        <f t="shared" si="14"/>
        <v>2112.676056338028</v>
      </c>
      <c r="G106" s="1">
        <f t="shared" si="15"/>
        <v>1056.338028169014</v>
      </c>
      <c r="H106" s="1">
        <f t="shared" si="16"/>
        <v>422.53521126760563</v>
      </c>
      <c r="I106" s="1">
        <f t="shared" si="17"/>
        <v>211.26760563380282</v>
      </c>
      <c r="J106" s="1">
        <f t="shared" si="18"/>
        <v>140.8450704225352</v>
      </c>
      <c r="K106" s="1">
        <f t="shared" si="19"/>
        <v>70.422535211267601</v>
      </c>
      <c r="L106" s="1">
        <f t="shared" si="20"/>
        <v>21.12676056338028</v>
      </c>
      <c r="M106">
        <f t="shared" si="13"/>
        <v>30000</v>
      </c>
      <c r="N106" s="7"/>
    </row>
    <row r="107" spans="1:14" x14ac:dyDescent="0.25">
      <c r="A107">
        <f t="shared" si="21"/>
        <v>106</v>
      </c>
      <c r="B107" s="1">
        <v>800000000</v>
      </c>
      <c r="C107" s="1">
        <v>60000000</v>
      </c>
      <c r="D107">
        <f t="shared" si="12"/>
        <v>2.87</v>
      </c>
      <c r="E107" s="1">
        <f t="shared" si="11"/>
        <v>28700</v>
      </c>
      <c r="F107" s="1">
        <f t="shared" si="14"/>
        <v>2090.5923344947737</v>
      </c>
      <c r="G107" s="1">
        <f t="shared" si="15"/>
        <v>1045.2961672473868</v>
      </c>
      <c r="H107" s="1">
        <f t="shared" si="16"/>
        <v>418.11846689895469</v>
      </c>
      <c r="I107" s="1">
        <f t="shared" si="17"/>
        <v>209.05923344947735</v>
      </c>
      <c r="J107" s="1">
        <f t="shared" si="18"/>
        <v>139.37282229965157</v>
      </c>
      <c r="K107" s="1">
        <f t="shared" si="19"/>
        <v>69.686411149825787</v>
      </c>
      <c r="L107" s="1">
        <f t="shared" si="20"/>
        <v>20.905923344947734</v>
      </c>
      <c r="M107">
        <f t="shared" si="13"/>
        <v>30000</v>
      </c>
      <c r="N107" s="7"/>
    </row>
    <row r="108" spans="1:14" x14ac:dyDescent="0.25">
      <c r="A108">
        <f t="shared" si="21"/>
        <v>107</v>
      </c>
      <c r="B108" s="1">
        <v>860000000</v>
      </c>
      <c r="C108" s="1">
        <v>60000000</v>
      </c>
      <c r="D108">
        <f t="shared" si="12"/>
        <v>2.9</v>
      </c>
      <c r="E108" s="1">
        <f t="shared" si="11"/>
        <v>29000</v>
      </c>
      <c r="F108" s="1">
        <f t="shared" si="14"/>
        <v>2413.7931034482758</v>
      </c>
      <c r="G108" s="1">
        <f t="shared" si="15"/>
        <v>1206.8965517241379</v>
      </c>
      <c r="H108" s="1">
        <f t="shared" si="16"/>
        <v>482.75862068965517</v>
      </c>
      <c r="I108" s="1">
        <f t="shared" si="17"/>
        <v>241.37931034482759</v>
      </c>
      <c r="J108" s="1">
        <f t="shared" si="18"/>
        <v>160.91954022988506</v>
      </c>
      <c r="K108" s="1">
        <f t="shared" si="19"/>
        <v>80.459770114942529</v>
      </c>
      <c r="L108" s="1">
        <f t="shared" si="20"/>
        <v>24.137931034482758</v>
      </c>
      <c r="M108">
        <f t="shared" si="13"/>
        <v>35000</v>
      </c>
      <c r="N108" s="7"/>
    </row>
    <row r="109" spans="1:14" x14ac:dyDescent="0.25">
      <c r="A109">
        <f t="shared" si="21"/>
        <v>108</v>
      </c>
      <c r="B109" s="1">
        <v>930000000</v>
      </c>
      <c r="C109" s="1">
        <v>70000000</v>
      </c>
      <c r="D109">
        <f t="shared" si="12"/>
        <v>2.93</v>
      </c>
      <c r="E109" s="1">
        <f t="shared" si="11"/>
        <v>29300</v>
      </c>
      <c r="F109" s="1">
        <f t="shared" si="14"/>
        <v>2730.3754266211604</v>
      </c>
      <c r="G109" s="1">
        <f t="shared" si="15"/>
        <v>1365.1877133105802</v>
      </c>
      <c r="H109" s="1">
        <f t="shared" si="16"/>
        <v>546.07508532423208</v>
      </c>
      <c r="I109" s="1">
        <f t="shared" si="17"/>
        <v>273.03754266211604</v>
      </c>
      <c r="J109" s="1">
        <f t="shared" si="18"/>
        <v>182.02502844141068</v>
      </c>
      <c r="K109" s="1">
        <f t="shared" si="19"/>
        <v>91.012514220705341</v>
      </c>
      <c r="L109" s="1">
        <f t="shared" si="20"/>
        <v>27.303754266211605</v>
      </c>
      <c r="M109">
        <f t="shared" si="13"/>
        <v>40000</v>
      </c>
      <c r="N109" s="7"/>
    </row>
    <row r="110" spans="1:14" x14ac:dyDescent="0.25">
      <c r="A110">
        <f t="shared" si="21"/>
        <v>109</v>
      </c>
      <c r="B110" s="1">
        <v>1010000000</v>
      </c>
      <c r="C110" s="1">
        <v>80000000</v>
      </c>
      <c r="D110">
        <f t="shared" si="12"/>
        <v>2.96</v>
      </c>
      <c r="E110" s="1">
        <f t="shared" si="11"/>
        <v>29600</v>
      </c>
      <c r="F110" s="1">
        <f t="shared" si="14"/>
        <v>2702.7027027027025</v>
      </c>
      <c r="G110" s="1">
        <f t="shared" si="15"/>
        <v>1351.3513513513512</v>
      </c>
      <c r="H110" s="1">
        <f t="shared" si="16"/>
        <v>540.54054054054052</v>
      </c>
      <c r="I110" s="1">
        <f t="shared" si="17"/>
        <v>270.27027027027026</v>
      </c>
      <c r="J110" s="1">
        <f t="shared" si="18"/>
        <v>180.18018018018017</v>
      </c>
      <c r="K110" s="1">
        <f t="shared" si="19"/>
        <v>90.090090090090087</v>
      </c>
      <c r="L110" s="1">
        <f t="shared" si="20"/>
        <v>27.027027027027028</v>
      </c>
      <c r="M110">
        <f t="shared" si="13"/>
        <v>40000</v>
      </c>
      <c r="N110" s="7"/>
    </row>
    <row r="111" spans="1:14" x14ac:dyDescent="0.25">
      <c r="A111">
        <f t="shared" si="21"/>
        <v>110</v>
      </c>
      <c r="B111" s="1">
        <v>1090000000</v>
      </c>
      <c r="C111" s="1">
        <v>80000000</v>
      </c>
      <c r="D111">
        <f t="shared" si="12"/>
        <v>2.99</v>
      </c>
      <c r="E111" s="1">
        <f t="shared" si="11"/>
        <v>29900.000000000004</v>
      </c>
      <c r="F111" s="1">
        <f t="shared" si="14"/>
        <v>3010.0334448160534</v>
      </c>
      <c r="G111" s="1">
        <f t="shared" si="15"/>
        <v>1505.0167224080267</v>
      </c>
      <c r="H111" s="1">
        <f t="shared" si="16"/>
        <v>602.00668896321054</v>
      </c>
      <c r="I111" s="1">
        <f t="shared" si="17"/>
        <v>301.00334448160527</v>
      </c>
      <c r="J111" s="1">
        <f t="shared" si="18"/>
        <v>200.66889632107021</v>
      </c>
      <c r="K111" s="1">
        <f t="shared" si="19"/>
        <v>100.3344481605351</v>
      </c>
      <c r="L111" s="1">
        <f t="shared" si="20"/>
        <v>30.100334448160531</v>
      </c>
      <c r="M111">
        <f t="shared" si="13"/>
        <v>45000</v>
      </c>
      <c r="N111" s="7"/>
    </row>
    <row r="112" spans="1:14" x14ac:dyDescent="0.25">
      <c r="A112">
        <f t="shared" si="21"/>
        <v>111</v>
      </c>
      <c r="B112" s="1">
        <v>1180000000</v>
      </c>
      <c r="C112" s="1">
        <v>90000000</v>
      </c>
      <c r="D112">
        <f t="shared" si="12"/>
        <v>3.02</v>
      </c>
      <c r="E112" s="1">
        <f t="shared" si="11"/>
        <v>30200</v>
      </c>
      <c r="F112" s="1">
        <f t="shared" si="14"/>
        <v>2980.1324503311257</v>
      </c>
      <c r="G112" s="1">
        <f t="shared" si="15"/>
        <v>1490.0662251655629</v>
      </c>
      <c r="H112" s="1">
        <f t="shared" si="16"/>
        <v>596.02649006622516</v>
      </c>
      <c r="I112" s="1">
        <f t="shared" si="17"/>
        <v>298.01324503311258</v>
      </c>
      <c r="J112" s="1">
        <f t="shared" si="18"/>
        <v>198.67549668874173</v>
      </c>
      <c r="K112" s="1">
        <f t="shared" si="19"/>
        <v>99.337748344370866</v>
      </c>
      <c r="L112" s="1">
        <f t="shared" si="20"/>
        <v>29.801324503311257</v>
      </c>
      <c r="M112">
        <f t="shared" si="13"/>
        <v>45000</v>
      </c>
      <c r="N112" s="7"/>
    </row>
    <row r="113" spans="1:14" x14ac:dyDescent="0.25">
      <c r="A113">
        <f t="shared" si="21"/>
        <v>112</v>
      </c>
      <c r="B113" s="1">
        <v>1270000000</v>
      </c>
      <c r="C113" s="1">
        <v>90000000</v>
      </c>
      <c r="D113">
        <f t="shared" si="12"/>
        <v>3.05</v>
      </c>
      <c r="E113" s="1">
        <f t="shared" si="11"/>
        <v>30500</v>
      </c>
      <c r="F113" s="1">
        <f t="shared" si="14"/>
        <v>3278.688524590164</v>
      </c>
      <c r="G113" s="1">
        <f t="shared" si="15"/>
        <v>1639.344262295082</v>
      </c>
      <c r="H113" s="1">
        <f t="shared" si="16"/>
        <v>655.73770491803282</v>
      </c>
      <c r="I113" s="1">
        <f t="shared" si="17"/>
        <v>327.86885245901641</v>
      </c>
      <c r="J113" s="1">
        <f t="shared" si="18"/>
        <v>218.5792349726776</v>
      </c>
      <c r="K113" s="1">
        <f t="shared" si="19"/>
        <v>109.2896174863388</v>
      </c>
      <c r="L113" s="1">
        <f t="shared" si="20"/>
        <v>32.786885245901637</v>
      </c>
      <c r="M113">
        <f t="shared" si="13"/>
        <v>50000</v>
      </c>
      <c r="N113" s="7"/>
    </row>
    <row r="114" spans="1:14" x14ac:dyDescent="0.25">
      <c r="A114">
        <f t="shared" si="21"/>
        <v>113</v>
      </c>
      <c r="B114" s="1">
        <v>1370000000</v>
      </c>
      <c r="C114" s="1">
        <v>100000000</v>
      </c>
      <c r="D114">
        <f t="shared" si="12"/>
        <v>3.08</v>
      </c>
      <c r="E114" s="1">
        <f t="shared" si="11"/>
        <v>30800</v>
      </c>
      <c r="F114" s="1">
        <f t="shared" si="14"/>
        <v>3246.7532467532469</v>
      </c>
      <c r="G114" s="1">
        <f t="shared" si="15"/>
        <v>1623.3766233766235</v>
      </c>
      <c r="H114" s="1">
        <f t="shared" si="16"/>
        <v>649.35064935064941</v>
      </c>
      <c r="I114" s="1">
        <f t="shared" si="17"/>
        <v>324.6753246753247</v>
      </c>
      <c r="J114" s="1">
        <f t="shared" si="18"/>
        <v>216.45021645021646</v>
      </c>
      <c r="K114" s="1">
        <f t="shared" si="19"/>
        <v>108.22510822510823</v>
      </c>
      <c r="L114" s="1">
        <f t="shared" si="20"/>
        <v>32.467532467532465</v>
      </c>
      <c r="M114">
        <f t="shared" si="13"/>
        <v>50000</v>
      </c>
      <c r="N114" s="7"/>
    </row>
    <row r="115" spans="1:14" x14ac:dyDescent="0.25">
      <c r="A115">
        <f t="shared" si="21"/>
        <v>114</v>
      </c>
      <c r="B115" s="1">
        <v>1470000000</v>
      </c>
      <c r="C115" s="1">
        <v>100000000</v>
      </c>
      <c r="D115">
        <f t="shared" si="12"/>
        <v>3.11</v>
      </c>
      <c r="E115" s="1">
        <f t="shared" si="11"/>
        <v>31100</v>
      </c>
      <c r="F115" s="1">
        <f t="shared" si="14"/>
        <v>3215.4340836012861</v>
      </c>
      <c r="G115" s="1">
        <f t="shared" si="15"/>
        <v>1607.7170418006431</v>
      </c>
      <c r="H115" s="1">
        <f t="shared" si="16"/>
        <v>643.08681672025727</v>
      </c>
      <c r="I115" s="1">
        <f t="shared" si="17"/>
        <v>321.54340836012864</v>
      </c>
      <c r="J115" s="1">
        <f t="shared" si="18"/>
        <v>214.36227224008576</v>
      </c>
      <c r="K115" s="1">
        <f t="shared" si="19"/>
        <v>107.18113612004288</v>
      </c>
      <c r="L115" s="1">
        <f t="shared" si="20"/>
        <v>32.154340836012864</v>
      </c>
      <c r="M115">
        <f t="shared" si="13"/>
        <v>50000</v>
      </c>
      <c r="N115" s="7"/>
    </row>
    <row r="116" spans="1:14" x14ac:dyDescent="0.25">
      <c r="A116">
        <f t="shared" si="21"/>
        <v>115</v>
      </c>
      <c r="B116" s="1">
        <v>1570000000</v>
      </c>
      <c r="C116" s="1">
        <v>100000000</v>
      </c>
      <c r="D116">
        <f t="shared" si="12"/>
        <v>3.14</v>
      </c>
      <c r="E116" s="1">
        <f t="shared" si="11"/>
        <v>31400</v>
      </c>
      <c r="F116" s="1">
        <f t="shared" si="14"/>
        <v>3184.7133757961783</v>
      </c>
      <c r="G116" s="1">
        <f t="shared" si="15"/>
        <v>1592.3566878980891</v>
      </c>
      <c r="H116" s="1">
        <f t="shared" si="16"/>
        <v>636.9426751592357</v>
      </c>
      <c r="I116" s="1">
        <f t="shared" si="17"/>
        <v>318.47133757961785</v>
      </c>
      <c r="J116" s="1">
        <f t="shared" si="18"/>
        <v>212.31422505307856</v>
      </c>
      <c r="K116" s="1">
        <f t="shared" si="19"/>
        <v>106.15711252653928</v>
      </c>
      <c r="L116" s="1">
        <f t="shared" si="20"/>
        <v>31.847133757961782</v>
      </c>
      <c r="M116">
        <f t="shared" si="13"/>
        <v>50000</v>
      </c>
      <c r="N116" s="7"/>
    </row>
    <row r="117" spans="1:14" x14ac:dyDescent="0.25">
      <c r="A117">
        <f t="shared" si="21"/>
        <v>116</v>
      </c>
      <c r="B117" s="1">
        <v>1670000000</v>
      </c>
      <c r="C117" s="1">
        <v>100000000</v>
      </c>
      <c r="D117">
        <f t="shared" si="12"/>
        <v>3.17</v>
      </c>
      <c r="E117" s="1">
        <f t="shared" si="11"/>
        <v>31700</v>
      </c>
      <c r="F117" s="1">
        <f t="shared" si="14"/>
        <v>4100.9463722397477</v>
      </c>
      <c r="G117" s="1">
        <f t="shared" si="15"/>
        <v>2050.4731861198738</v>
      </c>
      <c r="H117" s="1">
        <f t="shared" si="16"/>
        <v>820.18927444794951</v>
      </c>
      <c r="I117" s="1">
        <f t="shared" si="17"/>
        <v>410.09463722397476</v>
      </c>
      <c r="J117" s="1">
        <f t="shared" si="18"/>
        <v>273.39642481598315</v>
      </c>
      <c r="K117" s="1">
        <f t="shared" si="19"/>
        <v>136.69821240799158</v>
      </c>
      <c r="L117" s="1">
        <f t="shared" si="20"/>
        <v>41.009463722397477</v>
      </c>
      <c r="M117">
        <f t="shared" si="13"/>
        <v>65000</v>
      </c>
      <c r="N117" s="7"/>
    </row>
    <row r="118" spans="1:14" x14ac:dyDescent="0.25">
      <c r="A118">
        <f t="shared" si="21"/>
        <v>117</v>
      </c>
      <c r="B118" s="1">
        <v>1800000000</v>
      </c>
      <c r="C118" s="1">
        <v>130000000</v>
      </c>
      <c r="D118">
        <f t="shared" si="12"/>
        <v>3.2</v>
      </c>
      <c r="E118" s="1">
        <f t="shared" si="11"/>
        <v>32000</v>
      </c>
      <c r="F118" s="1">
        <f t="shared" si="14"/>
        <v>6250</v>
      </c>
      <c r="G118" s="1">
        <f t="shared" si="15"/>
        <v>3125</v>
      </c>
      <c r="H118" s="1">
        <f t="shared" si="16"/>
        <v>1250</v>
      </c>
      <c r="I118" s="1">
        <f t="shared" si="17"/>
        <v>625</v>
      </c>
      <c r="J118" s="1">
        <f t="shared" si="18"/>
        <v>416.66666666666669</v>
      </c>
      <c r="K118" s="1">
        <f t="shared" si="19"/>
        <v>208.33333333333334</v>
      </c>
      <c r="L118" s="1">
        <f t="shared" si="20"/>
        <v>62.5</v>
      </c>
      <c r="M118">
        <f t="shared" si="13"/>
        <v>100000</v>
      </c>
      <c r="N118" s="7"/>
    </row>
    <row r="119" spans="1:14" x14ac:dyDescent="0.25">
      <c r="A119">
        <f t="shared" si="21"/>
        <v>118</v>
      </c>
      <c r="B119" s="1">
        <v>2000000000</v>
      </c>
      <c r="C119" s="1">
        <v>200000000</v>
      </c>
      <c r="D119">
        <f t="shared" si="12"/>
        <v>3.24</v>
      </c>
      <c r="E119" s="1">
        <f t="shared" si="11"/>
        <v>32400.000000000004</v>
      </c>
      <c r="F119" s="1">
        <f t="shared" si="14"/>
        <v>6172.8395061728388</v>
      </c>
      <c r="G119" s="1">
        <f t="shared" si="15"/>
        <v>3086.4197530864194</v>
      </c>
      <c r="H119" s="1">
        <f t="shared" si="16"/>
        <v>1234.5679012345677</v>
      </c>
      <c r="I119" s="1">
        <f t="shared" si="17"/>
        <v>617.28395061728384</v>
      </c>
      <c r="J119" s="1">
        <f t="shared" si="18"/>
        <v>411.52263374485591</v>
      </c>
      <c r="K119" s="1">
        <f t="shared" si="19"/>
        <v>205.76131687242795</v>
      </c>
      <c r="L119" s="1">
        <f t="shared" si="20"/>
        <v>61.728395061728385</v>
      </c>
      <c r="M119">
        <f t="shared" si="13"/>
        <v>100000</v>
      </c>
      <c r="N119" s="7"/>
    </row>
    <row r="120" spans="1:14" x14ac:dyDescent="0.25">
      <c r="A120">
        <f t="shared" si="21"/>
        <v>119</v>
      </c>
      <c r="B120" s="1">
        <v>2200000000</v>
      </c>
      <c r="C120" s="1">
        <v>200000000</v>
      </c>
      <c r="D120">
        <f t="shared" si="12"/>
        <v>3.27</v>
      </c>
      <c r="E120" s="1">
        <f t="shared" si="11"/>
        <v>32700</v>
      </c>
      <c r="F120" s="1">
        <f t="shared" si="14"/>
        <v>6116.2079510703361</v>
      </c>
      <c r="G120" s="1">
        <f t="shared" si="15"/>
        <v>3058.103975535168</v>
      </c>
      <c r="H120" s="1">
        <f t="shared" si="16"/>
        <v>1223.2415902140672</v>
      </c>
      <c r="I120" s="1">
        <f t="shared" si="17"/>
        <v>611.62079510703359</v>
      </c>
      <c r="J120" s="1">
        <f t="shared" si="18"/>
        <v>407.74719673802241</v>
      </c>
      <c r="K120" s="1">
        <f t="shared" si="19"/>
        <v>203.87359836901121</v>
      </c>
      <c r="L120" s="1">
        <f t="shared" si="20"/>
        <v>61.162079510703364</v>
      </c>
      <c r="M120">
        <f t="shared" si="13"/>
        <v>100000</v>
      </c>
      <c r="N120" s="7"/>
    </row>
    <row r="121" spans="1:14" x14ac:dyDescent="0.25">
      <c r="A121">
        <f t="shared" si="21"/>
        <v>120</v>
      </c>
      <c r="B121" s="1">
        <v>2400000000</v>
      </c>
      <c r="C121" s="1">
        <v>200000000</v>
      </c>
      <c r="D121">
        <f t="shared" si="12"/>
        <v>3.3</v>
      </c>
      <c r="E121" s="1">
        <f t="shared" si="11"/>
        <v>33000</v>
      </c>
      <c r="F121" s="1">
        <f t="shared" si="14"/>
        <v>6060.606060606061</v>
      </c>
      <c r="G121" s="1">
        <f t="shared" si="15"/>
        <v>3030.3030303030305</v>
      </c>
      <c r="H121" s="1">
        <f t="shared" si="16"/>
        <v>1212.121212121212</v>
      </c>
      <c r="I121" s="1">
        <f t="shared" si="17"/>
        <v>606.06060606060601</v>
      </c>
      <c r="J121" s="1">
        <f t="shared" si="18"/>
        <v>404.04040404040404</v>
      </c>
      <c r="K121" s="1">
        <f t="shared" si="19"/>
        <v>202.02020202020202</v>
      </c>
      <c r="L121" s="1">
        <f t="shared" si="20"/>
        <v>60.606060606060609</v>
      </c>
      <c r="M121">
        <f t="shared" si="13"/>
        <v>100000</v>
      </c>
      <c r="N121" s="7"/>
    </row>
    <row r="122" spans="1:14" x14ac:dyDescent="0.25">
      <c r="A122">
        <f t="shared" si="21"/>
        <v>121</v>
      </c>
      <c r="B122" s="1">
        <v>2600000000</v>
      </c>
      <c r="C122" s="1">
        <v>200000000</v>
      </c>
      <c r="D122">
        <f t="shared" si="12"/>
        <v>3.33</v>
      </c>
      <c r="E122" s="1">
        <f t="shared" si="11"/>
        <v>33300</v>
      </c>
      <c r="F122" s="1">
        <f t="shared" si="14"/>
        <v>6006.0060060060059</v>
      </c>
      <c r="G122" s="1">
        <f t="shared" si="15"/>
        <v>3003.003003003003</v>
      </c>
      <c r="H122" s="1">
        <f t="shared" si="16"/>
        <v>1201.2012012012012</v>
      </c>
      <c r="I122" s="1">
        <f t="shared" si="17"/>
        <v>600.60060060060061</v>
      </c>
      <c r="J122" s="1">
        <f t="shared" si="18"/>
        <v>400.40040040040043</v>
      </c>
      <c r="K122" s="1">
        <f t="shared" si="19"/>
        <v>200.20020020020021</v>
      </c>
      <c r="L122" s="1">
        <f t="shared" si="20"/>
        <v>60.06006006006006</v>
      </c>
      <c r="M122">
        <f t="shared" si="13"/>
        <v>100000</v>
      </c>
      <c r="N122" s="7"/>
    </row>
    <row r="123" spans="1:14" x14ac:dyDescent="0.25">
      <c r="A123">
        <f t="shared" si="21"/>
        <v>122</v>
      </c>
      <c r="B123" s="1">
        <v>2800000000</v>
      </c>
      <c r="C123" s="1">
        <v>200000000</v>
      </c>
      <c r="D123">
        <f t="shared" si="12"/>
        <v>3.37</v>
      </c>
      <c r="E123" s="1">
        <f t="shared" si="11"/>
        <v>33700</v>
      </c>
      <c r="F123" s="1">
        <f t="shared" si="14"/>
        <v>5934.718100890208</v>
      </c>
      <c r="G123" s="1">
        <f t="shared" si="15"/>
        <v>2967.359050445104</v>
      </c>
      <c r="H123" s="1">
        <f t="shared" si="16"/>
        <v>1186.9436201780416</v>
      </c>
      <c r="I123" s="1">
        <f t="shared" si="17"/>
        <v>593.47181008902078</v>
      </c>
      <c r="J123" s="1">
        <f t="shared" si="18"/>
        <v>395.64787339268054</v>
      </c>
      <c r="K123" s="1">
        <f t="shared" si="19"/>
        <v>197.82393669634027</v>
      </c>
      <c r="L123" s="1">
        <f t="shared" si="20"/>
        <v>59.347181008902076</v>
      </c>
      <c r="M123">
        <f t="shared" si="13"/>
        <v>100000</v>
      </c>
      <c r="N123" s="7"/>
    </row>
    <row r="124" spans="1:14" x14ac:dyDescent="0.25">
      <c r="A124">
        <f t="shared" si="21"/>
        <v>123</v>
      </c>
      <c r="B124" s="1">
        <v>3000000000</v>
      </c>
      <c r="C124" s="1">
        <v>200000000</v>
      </c>
      <c r="D124">
        <f t="shared" si="12"/>
        <v>3.4</v>
      </c>
      <c r="E124" s="1">
        <f t="shared" si="11"/>
        <v>34000</v>
      </c>
      <c r="F124" s="1">
        <f t="shared" si="14"/>
        <v>5882.3529411764703</v>
      </c>
      <c r="G124" s="1">
        <f t="shared" si="15"/>
        <v>2941.1764705882351</v>
      </c>
      <c r="H124" s="1">
        <f t="shared" si="16"/>
        <v>1176.4705882352941</v>
      </c>
      <c r="I124" s="1">
        <f t="shared" si="17"/>
        <v>588.23529411764707</v>
      </c>
      <c r="J124" s="1">
        <f t="shared" si="18"/>
        <v>392.15686274509807</v>
      </c>
      <c r="K124" s="1">
        <f t="shared" si="19"/>
        <v>196.07843137254903</v>
      </c>
      <c r="L124" s="1">
        <f t="shared" si="20"/>
        <v>58.823529411764703</v>
      </c>
      <c r="M124">
        <f t="shared" si="13"/>
        <v>100000</v>
      </c>
      <c r="N124" s="7"/>
    </row>
    <row r="125" spans="1:14" x14ac:dyDescent="0.25">
      <c r="A125">
        <f t="shared" si="21"/>
        <v>124</v>
      </c>
      <c r="B125" s="1">
        <v>3200000000</v>
      </c>
      <c r="C125" s="1">
        <v>200000000</v>
      </c>
      <c r="D125">
        <f t="shared" si="12"/>
        <v>3.43</v>
      </c>
      <c r="E125" s="1">
        <f t="shared" si="11"/>
        <v>34300</v>
      </c>
      <c r="F125" s="1">
        <f t="shared" si="14"/>
        <v>8746.3556851311951</v>
      </c>
      <c r="G125" s="1">
        <f t="shared" si="15"/>
        <v>4373.1778425655975</v>
      </c>
      <c r="H125" s="1">
        <f t="shared" si="16"/>
        <v>1749.2711370262391</v>
      </c>
      <c r="I125" s="1">
        <f t="shared" si="17"/>
        <v>874.63556851311955</v>
      </c>
      <c r="J125" s="1">
        <f t="shared" si="18"/>
        <v>583.09037900874637</v>
      </c>
      <c r="K125" s="1">
        <f t="shared" si="19"/>
        <v>291.54518950437318</v>
      </c>
      <c r="L125" s="1">
        <f t="shared" si="20"/>
        <v>87.463556851311949</v>
      </c>
      <c r="M125">
        <f t="shared" si="13"/>
        <v>150000</v>
      </c>
      <c r="N125" s="7"/>
    </row>
    <row r="126" spans="1:14" x14ac:dyDescent="0.25">
      <c r="A126">
        <f t="shared" si="21"/>
        <v>125</v>
      </c>
      <c r="B126" s="1">
        <v>3500000000</v>
      </c>
      <c r="C126" s="1">
        <v>300000000</v>
      </c>
      <c r="D126">
        <f t="shared" si="12"/>
        <v>3.47</v>
      </c>
      <c r="E126" s="1">
        <f t="shared" si="11"/>
        <v>34700</v>
      </c>
      <c r="F126" s="1">
        <f t="shared" si="14"/>
        <v>8645.5331412103751</v>
      </c>
      <c r="G126" s="1">
        <f t="shared" si="15"/>
        <v>4322.7665706051876</v>
      </c>
      <c r="H126" s="1">
        <f t="shared" si="16"/>
        <v>1729.106628242075</v>
      </c>
      <c r="I126" s="1">
        <f t="shared" si="17"/>
        <v>864.55331412103749</v>
      </c>
      <c r="J126" s="1">
        <f t="shared" si="18"/>
        <v>576.36887608069162</v>
      </c>
      <c r="K126" s="1">
        <f t="shared" si="19"/>
        <v>288.18443804034581</v>
      </c>
      <c r="L126" s="1">
        <f t="shared" si="20"/>
        <v>86.455331412103746</v>
      </c>
      <c r="M126">
        <f t="shared" si="13"/>
        <v>150000</v>
      </c>
      <c r="N126" s="7"/>
    </row>
    <row r="127" spans="1:14" x14ac:dyDescent="0.25">
      <c r="A127">
        <f t="shared" si="21"/>
        <v>126</v>
      </c>
      <c r="B127" s="1">
        <v>3800000000</v>
      </c>
      <c r="C127" s="1">
        <v>300000000</v>
      </c>
      <c r="D127">
        <f t="shared" si="12"/>
        <v>3.5</v>
      </c>
      <c r="E127" s="1">
        <f t="shared" si="11"/>
        <v>35000</v>
      </c>
      <c r="F127" s="1">
        <f t="shared" si="14"/>
        <v>8571.4285714285706</v>
      </c>
      <c r="G127" s="1">
        <f t="shared" si="15"/>
        <v>4285.7142857142853</v>
      </c>
      <c r="H127" s="1">
        <f t="shared" si="16"/>
        <v>1714.2857142857142</v>
      </c>
      <c r="I127" s="1">
        <f t="shared" si="17"/>
        <v>857.14285714285711</v>
      </c>
      <c r="J127" s="1">
        <f t="shared" si="18"/>
        <v>571.42857142857144</v>
      </c>
      <c r="K127" s="1">
        <f t="shared" si="19"/>
        <v>285.71428571428572</v>
      </c>
      <c r="L127" s="1">
        <f t="shared" si="20"/>
        <v>85.714285714285708</v>
      </c>
      <c r="M127">
        <f t="shared" si="13"/>
        <v>150000</v>
      </c>
      <c r="N127" s="7"/>
    </row>
    <row r="128" spans="1:14" x14ac:dyDescent="0.25">
      <c r="A128">
        <f t="shared" si="21"/>
        <v>127</v>
      </c>
      <c r="B128" s="1">
        <v>4100000000</v>
      </c>
      <c r="C128" s="1">
        <v>300000000</v>
      </c>
      <c r="D128">
        <f t="shared" si="12"/>
        <v>3.54</v>
      </c>
      <c r="E128" s="1">
        <f t="shared" si="11"/>
        <v>35400</v>
      </c>
      <c r="F128" s="1">
        <f t="shared" si="14"/>
        <v>8474.5762711864409</v>
      </c>
      <c r="G128" s="1">
        <f t="shared" si="15"/>
        <v>4237.2881355932204</v>
      </c>
      <c r="H128" s="1">
        <f t="shared" si="16"/>
        <v>1694.9152542372881</v>
      </c>
      <c r="I128" s="1">
        <f t="shared" si="17"/>
        <v>847.45762711864404</v>
      </c>
      <c r="J128" s="1">
        <f t="shared" si="18"/>
        <v>564.9717514124294</v>
      </c>
      <c r="K128" s="1">
        <f t="shared" si="19"/>
        <v>282.4858757062147</v>
      </c>
      <c r="L128" s="1">
        <f t="shared" si="20"/>
        <v>84.745762711864401</v>
      </c>
      <c r="M128">
        <f t="shared" si="13"/>
        <v>150000</v>
      </c>
      <c r="N128" s="7"/>
    </row>
    <row r="129" spans="1:14" x14ac:dyDescent="0.25">
      <c r="A129">
        <f t="shared" si="21"/>
        <v>128</v>
      </c>
      <c r="B129" s="1">
        <v>4400000000</v>
      </c>
      <c r="C129" s="1">
        <v>300000000</v>
      </c>
      <c r="D129">
        <f t="shared" si="12"/>
        <v>3.57</v>
      </c>
      <c r="E129" s="1">
        <f t="shared" si="11"/>
        <v>35700</v>
      </c>
      <c r="F129" s="1">
        <f t="shared" si="14"/>
        <v>11204.481792717086</v>
      </c>
      <c r="G129" s="1">
        <f t="shared" si="15"/>
        <v>5602.2408963585431</v>
      </c>
      <c r="H129" s="1">
        <f t="shared" si="16"/>
        <v>2240.8963585434176</v>
      </c>
      <c r="I129" s="1">
        <f t="shared" si="17"/>
        <v>1120.4481792717088</v>
      </c>
      <c r="J129" s="1">
        <f t="shared" si="18"/>
        <v>746.96545284780575</v>
      </c>
      <c r="K129" s="1">
        <f t="shared" si="19"/>
        <v>373.48272642390288</v>
      </c>
      <c r="L129" s="1">
        <f t="shared" si="20"/>
        <v>112.04481792717087</v>
      </c>
      <c r="M129">
        <f t="shared" si="13"/>
        <v>200000</v>
      </c>
      <c r="N129" s="7"/>
    </row>
    <row r="130" spans="1:14" x14ac:dyDescent="0.25">
      <c r="A130">
        <f t="shared" si="21"/>
        <v>129</v>
      </c>
      <c r="B130" s="1">
        <v>4800000000</v>
      </c>
      <c r="C130" s="1">
        <v>400000000</v>
      </c>
      <c r="D130">
        <f t="shared" si="12"/>
        <v>3.61</v>
      </c>
      <c r="E130" s="1">
        <f t="shared" ref="E130:E193" si="22">+D130*10000</f>
        <v>36100</v>
      </c>
      <c r="F130" s="1">
        <f t="shared" si="14"/>
        <v>11080.3324099723</v>
      </c>
      <c r="G130" s="1">
        <f t="shared" si="15"/>
        <v>5540.1662049861498</v>
      </c>
      <c r="H130" s="1">
        <f t="shared" si="16"/>
        <v>2216.06648199446</v>
      </c>
      <c r="I130" s="1">
        <f t="shared" si="17"/>
        <v>1108.03324099723</v>
      </c>
      <c r="J130" s="1">
        <f t="shared" si="18"/>
        <v>738.68882733148666</v>
      </c>
      <c r="K130" s="1">
        <f t="shared" si="19"/>
        <v>369.34441366574333</v>
      </c>
      <c r="L130" s="1">
        <f t="shared" si="20"/>
        <v>110.80332409972299</v>
      </c>
      <c r="M130">
        <f t="shared" si="13"/>
        <v>200000</v>
      </c>
      <c r="N130" s="7"/>
    </row>
    <row r="131" spans="1:14" x14ac:dyDescent="0.25">
      <c r="A131">
        <f t="shared" si="21"/>
        <v>130</v>
      </c>
      <c r="B131" s="1">
        <v>5200000000</v>
      </c>
      <c r="C131" s="1">
        <v>400000000</v>
      </c>
      <c r="D131">
        <f t="shared" ref="D131:D194" si="23">ROUND(1.01^A131,2)</f>
        <v>3.65</v>
      </c>
      <c r="E131" s="1">
        <f t="shared" si="22"/>
        <v>36500</v>
      </c>
      <c r="F131" s="1">
        <f t="shared" si="14"/>
        <v>10958.904109589041</v>
      </c>
      <c r="G131" s="1">
        <f t="shared" si="15"/>
        <v>5479.4520547945203</v>
      </c>
      <c r="H131" s="1">
        <f t="shared" si="16"/>
        <v>2191.7808219178082</v>
      </c>
      <c r="I131" s="1">
        <f t="shared" si="17"/>
        <v>1095.8904109589041</v>
      </c>
      <c r="J131" s="1">
        <f t="shared" si="18"/>
        <v>730.59360730593608</v>
      </c>
      <c r="K131" s="1">
        <f t="shared" si="19"/>
        <v>365.29680365296804</v>
      </c>
      <c r="L131" s="1">
        <f t="shared" si="20"/>
        <v>109.58904109589041</v>
      </c>
      <c r="M131">
        <f t="shared" ref="M131:M194" si="24">ROUND(MAX(E132*6.3*10%,C132*0.05%),-MAX(2,INT(LOG10(MAX(E132*6.3*10%,C132*0.05%)))-2))</f>
        <v>200000</v>
      </c>
      <c r="N131" s="7"/>
    </row>
    <row r="132" spans="1:14" x14ac:dyDescent="0.25">
      <c r="A132">
        <f t="shared" si="21"/>
        <v>131</v>
      </c>
      <c r="B132" s="1">
        <v>5600000000</v>
      </c>
      <c r="C132" s="1">
        <v>400000000</v>
      </c>
      <c r="D132">
        <f t="shared" si="23"/>
        <v>3.68</v>
      </c>
      <c r="E132" s="1">
        <f t="shared" si="22"/>
        <v>36800</v>
      </c>
      <c r="F132" s="1">
        <f t="shared" ref="F132:F195" si="25">$C133/($E132*1)</f>
        <v>10869.565217391304</v>
      </c>
      <c r="G132" s="1">
        <f t="shared" ref="G132:G195" si="26">$C133/($E132*2)</f>
        <v>5434.782608695652</v>
      </c>
      <c r="H132" s="1">
        <f t="shared" ref="H132:H195" si="27">$C133/($E132*5)</f>
        <v>2173.913043478261</v>
      </c>
      <c r="I132" s="1">
        <f t="shared" ref="I132:I195" si="28">$C133/($E132*10)</f>
        <v>1086.9565217391305</v>
      </c>
      <c r="J132" s="1">
        <f t="shared" ref="J132:J195" si="29">$C133/($E132*15)</f>
        <v>724.63768115942025</v>
      </c>
      <c r="K132" s="1">
        <f t="shared" ref="K132:K195" si="30">$C133/($E132*30)</f>
        <v>362.31884057971013</v>
      </c>
      <c r="L132" s="1">
        <f t="shared" ref="L132:L195" si="31">$C133/($E132*100)</f>
        <v>108.69565217391305</v>
      </c>
      <c r="M132">
        <f t="shared" si="24"/>
        <v>200000</v>
      </c>
      <c r="N132" s="7"/>
    </row>
    <row r="133" spans="1:14" x14ac:dyDescent="0.25">
      <c r="A133">
        <f t="shared" ref="A133:A196" si="32">+A132+1</f>
        <v>132</v>
      </c>
      <c r="B133" s="1">
        <v>6000000000</v>
      </c>
      <c r="C133" s="1">
        <v>400000000</v>
      </c>
      <c r="D133">
        <f t="shared" si="23"/>
        <v>3.72</v>
      </c>
      <c r="E133" s="1">
        <f t="shared" si="22"/>
        <v>37200</v>
      </c>
      <c r="F133" s="1">
        <f t="shared" si="25"/>
        <v>13440.860215053763</v>
      </c>
      <c r="G133" s="1">
        <f t="shared" si="26"/>
        <v>6720.4301075268813</v>
      </c>
      <c r="H133" s="1">
        <f t="shared" si="27"/>
        <v>2688.1720430107525</v>
      </c>
      <c r="I133" s="1">
        <f t="shared" si="28"/>
        <v>1344.0860215053763</v>
      </c>
      <c r="J133" s="1">
        <f t="shared" si="29"/>
        <v>896.05734767025092</v>
      </c>
      <c r="K133" s="1">
        <f t="shared" si="30"/>
        <v>448.02867383512546</v>
      </c>
      <c r="L133" s="1">
        <f t="shared" si="31"/>
        <v>134.40860215053763</v>
      </c>
      <c r="M133">
        <f t="shared" si="24"/>
        <v>250000</v>
      </c>
      <c r="N133" s="7"/>
    </row>
    <row r="134" spans="1:14" x14ac:dyDescent="0.25">
      <c r="A134">
        <f t="shared" si="32"/>
        <v>133</v>
      </c>
      <c r="B134" s="1">
        <v>6500000000</v>
      </c>
      <c r="C134" s="1">
        <v>500000000</v>
      </c>
      <c r="D134">
        <f t="shared" si="23"/>
        <v>3.76</v>
      </c>
      <c r="E134" s="1">
        <f t="shared" si="22"/>
        <v>37600</v>
      </c>
      <c r="F134" s="1">
        <f t="shared" si="25"/>
        <v>13297.872340425532</v>
      </c>
      <c r="G134" s="1">
        <f t="shared" si="26"/>
        <v>6648.9361702127662</v>
      </c>
      <c r="H134" s="1">
        <f t="shared" si="27"/>
        <v>2659.5744680851062</v>
      </c>
      <c r="I134" s="1">
        <f t="shared" si="28"/>
        <v>1329.7872340425531</v>
      </c>
      <c r="J134" s="1">
        <f t="shared" si="29"/>
        <v>886.52482269503548</v>
      </c>
      <c r="K134" s="1">
        <f t="shared" si="30"/>
        <v>443.26241134751774</v>
      </c>
      <c r="L134" s="1">
        <f t="shared" si="31"/>
        <v>132.97872340425531</v>
      </c>
      <c r="M134">
        <f t="shared" si="24"/>
        <v>250000</v>
      </c>
      <c r="N134" s="7"/>
    </row>
    <row r="135" spans="1:14" x14ac:dyDescent="0.25">
      <c r="A135">
        <f t="shared" si="32"/>
        <v>134</v>
      </c>
      <c r="B135" s="1">
        <v>7000000000</v>
      </c>
      <c r="C135" s="1">
        <v>500000000</v>
      </c>
      <c r="D135">
        <f t="shared" si="23"/>
        <v>3.79</v>
      </c>
      <c r="E135" s="1">
        <f t="shared" si="22"/>
        <v>37900</v>
      </c>
      <c r="F135" s="1">
        <f t="shared" si="25"/>
        <v>15831.1345646438</v>
      </c>
      <c r="G135" s="1">
        <f t="shared" si="26"/>
        <v>7915.5672823219002</v>
      </c>
      <c r="H135" s="1">
        <f t="shared" si="27"/>
        <v>3166.2269129287597</v>
      </c>
      <c r="I135" s="1">
        <f t="shared" si="28"/>
        <v>1583.1134564643799</v>
      </c>
      <c r="J135" s="1">
        <f t="shared" si="29"/>
        <v>1055.4089709762534</v>
      </c>
      <c r="K135" s="1">
        <f t="shared" si="30"/>
        <v>527.70448548812669</v>
      </c>
      <c r="L135" s="1">
        <f t="shared" si="31"/>
        <v>158.31134564643799</v>
      </c>
      <c r="M135">
        <f t="shared" si="24"/>
        <v>300000</v>
      </c>
      <c r="N135" s="7"/>
    </row>
    <row r="136" spans="1:14" x14ac:dyDescent="0.25">
      <c r="A136">
        <f t="shared" si="32"/>
        <v>135</v>
      </c>
      <c r="B136" s="1">
        <v>7600000000</v>
      </c>
      <c r="C136" s="1">
        <v>600000000</v>
      </c>
      <c r="D136">
        <f t="shared" si="23"/>
        <v>3.83</v>
      </c>
      <c r="E136" s="1">
        <f t="shared" si="22"/>
        <v>38300</v>
      </c>
      <c r="F136" s="1">
        <f t="shared" si="25"/>
        <v>15665.796344647519</v>
      </c>
      <c r="G136" s="1">
        <f t="shared" si="26"/>
        <v>7832.8981723237594</v>
      </c>
      <c r="H136" s="1">
        <f t="shared" si="27"/>
        <v>3133.1592689295039</v>
      </c>
      <c r="I136" s="1">
        <f t="shared" si="28"/>
        <v>1566.579634464752</v>
      </c>
      <c r="J136" s="1">
        <f t="shared" si="29"/>
        <v>1044.3864229765013</v>
      </c>
      <c r="K136" s="1">
        <f t="shared" si="30"/>
        <v>522.19321148825065</v>
      </c>
      <c r="L136" s="1">
        <f t="shared" si="31"/>
        <v>156.65796344647521</v>
      </c>
      <c r="M136">
        <f t="shared" si="24"/>
        <v>300000</v>
      </c>
      <c r="N136" s="7"/>
    </row>
    <row r="137" spans="1:14" x14ac:dyDescent="0.25">
      <c r="A137">
        <f t="shared" si="32"/>
        <v>136</v>
      </c>
      <c r="B137" s="1">
        <v>8200000000</v>
      </c>
      <c r="C137" s="1">
        <v>600000000</v>
      </c>
      <c r="D137">
        <f t="shared" si="23"/>
        <v>3.87</v>
      </c>
      <c r="E137" s="1">
        <f t="shared" si="22"/>
        <v>38700</v>
      </c>
      <c r="F137" s="1">
        <f t="shared" si="25"/>
        <v>18087.855297157621</v>
      </c>
      <c r="G137" s="1">
        <f t="shared" si="26"/>
        <v>9043.9276485788105</v>
      </c>
      <c r="H137" s="1">
        <f t="shared" si="27"/>
        <v>3617.5710594315246</v>
      </c>
      <c r="I137" s="1">
        <f t="shared" si="28"/>
        <v>1808.7855297157623</v>
      </c>
      <c r="J137" s="1">
        <f t="shared" si="29"/>
        <v>1205.8570198105083</v>
      </c>
      <c r="K137" s="1">
        <f t="shared" si="30"/>
        <v>602.92850990525415</v>
      </c>
      <c r="L137" s="1">
        <f t="shared" si="31"/>
        <v>180.87855297157623</v>
      </c>
      <c r="M137">
        <f t="shared" si="24"/>
        <v>350000</v>
      </c>
      <c r="N137" s="7"/>
    </row>
    <row r="138" spans="1:14" x14ac:dyDescent="0.25">
      <c r="A138">
        <f t="shared" si="32"/>
        <v>137</v>
      </c>
      <c r="B138" s="1">
        <v>8900000000</v>
      </c>
      <c r="C138" s="1">
        <v>700000000</v>
      </c>
      <c r="D138">
        <f t="shared" si="23"/>
        <v>3.91</v>
      </c>
      <c r="E138" s="1">
        <f t="shared" si="22"/>
        <v>39100</v>
      </c>
      <c r="F138" s="1">
        <f t="shared" si="25"/>
        <v>17902.813299232737</v>
      </c>
      <c r="G138" s="1">
        <f t="shared" si="26"/>
        <v>8951.4066496163687</v>
      </c>
      <c r="H138" s="1">
        <f t="shared" si="27"/>
        <v>3580.5626598465474</v>
      </c>
      <c r="I138" s="1">
        <f t="shared" si="28"/>
        <v>1790.2813299232737</v>
      </c>
      <c r="J138" s="1">
        <f t="shared" si="29"/>
        <v>1193.5208866155158</v>
      </c>
      <c r="K138" s="1">
        <f t="shared" si="30"/>
        <v>596.7604433077579</v>
      </c>
      <c r="L138" s="1">
        <f t="shared" si="31"/>
        <v>179.02813299232736</v>
      </c>
      <c r="M138">
        <f t="shared" si="24"/>
        <v>350000</v>
      </c>
      <c r="N138" s="7"/>
    </row>
    <row r="139" spans="1:14" x14ac:dyDescent="0.25">
      <c r="A139">
        <f t="shared" si="32"/>
        <v>138</v>
      </c>
      <c r="B139" s="1">
        <v>9600000000</v>
      </c>
      <c r="C139" s="1">
        <v>700000000</v>
      </c>
      <c r="D139">
        <f t="shared" si="23"/>
        <v>3.95</v>
      </c>
      <c r="E139" s="1">
        <f t="shared" si="22"/>
        <v>39500</v>
      </c>
      <c r="F139" s="1">
        <f t="shared" si="25"/>
        <v>20253.164556962027</v>
      </c>
      <c r="G139" s="1">
        <f t="shared" si="26"/>
        <v>10126.582278481013</v>
      </c>
      <c r="H139" s="1">
        <f t="shared" si="27"/>
        <v>4050.6329113924053</v>
      </c>
      <c r="I139" s="1">
        <f t="shared" si="28"/>
        <v>2025.3164556962026</v>
      </c>
      <c r="J139" s="1">
        <f t="shared" si="29"/>
        <v>1350.210970464135</v>
      </c>
      <c r="K139" s="1">
        <f t="shared" si="30"/>
        <v>675.10548523206751</v>
      </c>
      <c r="L139" s="1">
        <f t="shared" si="31"/>
        <v>202.53164556962025</v>
      </c>
      <c r="M139">
        <f t="shared" si="24"/>
        <v>400000</v>
      </c>
      <c r="N139" s="7"/>
    </row>
    <row r="140" spans="1:14" x14ac:dyDescent="0.25">
      <c r="A140">
        <f t="shared" si="32"/>
        <v>139</v>
      </c>
      <c r="B140" s="1">
        <v>10400000000</v>
      </c>
      <c r="C140" s="1">
        <v>800000000</v>
      </c>
      <c r="D140">
        <f t="shared" si="23"/>
        <v>3.99</v>
      </c>
      <c r="E140" s="1">
        <f t="shared" si="22"/>
        <v>39900</v>
      </c>
      <c r="F140" s="1">
        <f t="shared" si="25"/>
        <v>20050.12531328321</v>
      </c>
      <c r="G140" s="1">
        <f t="shared" si="26"/>
        <v>10025.062656641605</v>
      </c>
      <c r="H140" s="1">
        <f t="shared" si="27"/>
        <v>4010.0250626566417</v>
      </c>
      <c r="I140" s="1">
        <f t="shared" si="28"/>
        <v>2005.0125313283208</v>
      </c>
      <c r="J140" s="1">
        <f t="shared" si="29"/>
        <v>1336.6750208855472</v>
      </c>
      <c r="K140" s="1">
        <f t="shared" si="30"/>
        <v>668.33751044277358</v>
      </c>
      <c r="L140" s="1">
        <f t="shared" si="31"/>
        <v>200.50125313283209</v>
      </c>
      <c r="M140">
        <f t="shared" si="24"/>
        <v>400000</v>
      </c>
      <c r="N140" s="7"/>
    </row>
    <row r="141" spans="1:14" x14ac:dyDescent="0.25">
      <c r="A141">
        <f t="shared" si="32"/>
        <v>140</v>
      </c>
      <c r="B141" s="1">
        <v>11200000000</v>
      </c>
      <c r="C141" s="1">
        <v>800000000</v>
      </c>
      <c r="D141">
        <f t="shared" si="23"/>
        <v>4.03</v>
      </c>
      <c r="E141" s="1">
        <f t="shared" si="22"/>
        <v>40300</v>
      </c>
      <c r="F141" s="1">
        <f t="shared" si="25"/>
        <v>22332.506203473946</v>
      </c>
      <c r="G141" s="1">
        <f t="shared" si="26"/>
        <v>11166.253101736973</v>
      </c>
      <c r="H141" s="1">
        <f t="shared" si="27"/>
        <v>4466.501240694789</v>
      </c>
      <c r="I141" s="1">
        <f t="shared" si="28"/>
        <v>2233.2506203473945</v>
      </c>
      <c r="J141" s="1">
        <f t="shared" si="29"/>
        <v>1488.8337468982629</v>
      </c>
      <c r="K141" s="1">
        <f t="shared" si="30"/>
        <v>744.41687344913146</v>
      </c>
      <c r="L141" s="1">
        <f t="shared" si="31"/>
        <v>223.32506203473946</v>
      </c>
      <c r="M141">
        <f t="shared" si="24"/>
        <v>450000</v>
      </c>
      <c r="N141" s="7"/>
    </row>
    <row r="142" spans="1:14" x14ac:dyDescent="0.25">
      <c r="A142">
        <f t="shared" si="32"/>
        <v>141</v>
      </c>
      <c r="B142" s="1">
        <v>12100000000</v>
      </c>
      <c r="C142" s="1">
        <v>900000000</v>
      </c>
      <c r="D142">
        <f t="shared" si="23"/>
        <v>4.07</v>
      </c>
      <c r="E142" s="1">
        <f t="shared" si="22"/>
        <v>40700</v>
      </c>
      <c r="F142" s="1">
        <f t="shared" si="25"/>
        <v>22113.022113022114</v>
      </c>
      <c r="G142" s="1">
        <f t="shared" si="26"/>
        <v>11056.511056511057</v>
      </c>
      <c r="H142" s="1">
        <f t="shared" si="27"/>
        <v>4422.6044226044223</v>
      </c>
      <c r="I142" s="1">
        <f t="shared" si="28"/>
        <v>2211.3022113022112</v>
      </c>
      <c r="J142" s="1">
        <f t="shared" si="29"/>
        <v>1474.2014742014742</v>
      </c>
      <c r="K142" s="1">
        <f t="shared" si="30"/>
        <v>737.10073710073709</v>
      </c>
      <c r="L142" s="1">
        <f t="shared" si="31"/>
        <v>221.13022113022112</v>
      </c>
      <c r="M142">
        <f t="shared" si="24"/>
        <v>450000</v>
      </c>
      <c r="N142" s="7"/>
    </row>
    <row r="143" spans="1:14" x14ac:dyDescent="0.25">
      <c r="A143">
        <f t="shared" si="32"/>
        <v>142</v>
      </c>
      <c r="B143" s="1">
        <v>13000000000</v>
      </c>
      <c r="C143" s="1">
        <v>900000000</v>
      </c>
      <c r="D143">
        <f t="shared" si="23"/>
        <v>4.1100000000000003</v>
      </c>
      <c r="E143" s="1">
        <f t="shared" si="22"/>
        <v>41100</v>
      </c>
      <c r="F143" s="1">
        <f t="shared" si="25"/>
        <v>24330.900243309003</v>
      </c>
      <c r="G143" s="1">
        <f t="shared" si="26"/>
        <v>12165.450121654501</v>
      </c>
      <c r="H143" s="1">
        <f t="shared" si="27"/>
        <v>4866.1800486618004</v>
      </c>
      <c r="I143" s="1">
        <f t="shared" si="28"/>
        <v>2433.0900243309002</v>
      </c>
      <c r="J143" s="1">
        <f t="shared" si="29"/>
        <v>1622.0600162206001</v>
      </c>
      <c r="K143" s="1">
        <f t="shared" si="30"/>
        <v>811.03000811030006</v>
      </c>
      <c r="L143" s="1">
        <f t="shared" si="31"/>
        <v>243.30900243309003</v>
      </c>
      <c r="M143">
        <f t="shared" si="24"/>
        <v>500000</v>
      </c>
      <c r="N143" s="7"/>
    </row>
    <row r="144" spans="1:14" x14ac:dyDescent="0.25">
      <c r="A144">
        <f t="shared" si="32"/>
        <v>143</v>
      </c>
      <c r="B144" s="1">
        <v>14000000000</v>
      </c>
      <c r="C144" s="1">
        <v>1000000000</v>
      </c>
      <c r="D144">
        <f t="shared" si="23"/>
        <v>4.1500000000000004</v>
      </c>
      <c r="E144" s="1">
        <f t="shared" si="22"/>
        <v>41500</v>
      </c>
      <c r="F144" s="1">
        <f t="shared" si="25"/>
        <v>24096.385542168675</v>
      </c>
      <c r="G144" s="1">
        <f t="shared" si="26"/>
        <v>12048.192771084337</v>
      </c>
      <c r="H144" s="1">
        <f t="shared" si="27"/>
        <v>4819.2771084337346</v>
      </c>
      <c r="I144" s="1">
        <f t="shared" si="28"/>
        <v>2409.6385542168673</v>
      </c>
      <c r="J144" s="1">
        <f t="shared" si="29"/>
        <v>1606.4257028112449</v>
      </c>
      <c r="K144" s="1">
        <f t="shared" si="30"/>
        <v>803.21285140562247</v>
      </c>
      <c r="L144" s="1">
        <f t="shared" si="31"/>
        <v>240.96385542168676</v>
      </c>
      <c r="M144">
        <f t="shared" si="24"/>
        <v>500000</v>
      </c>
      <c r="N144" s="7"/>
    </row>
    <row r="145" spans="1:14" x14ac:dyDescent="0.25">
      <c r="A145">
        <f t="shared" si="32"/>
        <v>144</v>
      </c>
      <c r="B145" s="1">
        <v>15000000000</v>
      </c>
      <c r="C145" s="1">
        <v>1000000000</v>
      </c>
      <c r="D145">
        <f t="shared" si="23"/>
        <v>4.1900000000000004</v>
      </c>
      <c r="E145" s="1">
        <f t="shared" si="22"/>
        <v>41900.000000000007</v>
      </c>
      <c r="F145" s="1">
        <f t="shared" si="25"/>
        <v>23866.348448687346</v>
      </c>
      <c r="G145" s="1">
        <f t="shared" si="26"/>
        <v>11933.174224343673</v>
      </c>
      <c r="H145" s="1">
        <f t="shared" si="27"/>
        <v>4773.2696897374699</v>
      </c>
      <c r="I145" s="1">
        <f t="shared" si="28"/>
        <v>2386.6348448687349</v>
      </c>
      <c r="J145" s="1">
        <f t="shared" si="29"/>
        <v>1591.0898965791564</v>
      </c>
      <c r="K145" s="1">
        <f t="shared" si="30"/>
        <v>795.5449482895782</v>
      </c>
      <c r="L145" s="1">
        <f t="shared" si="31"/>
        <v>238.66348448687344</v>
      </c>
      <c r="M145">
        <f t="shared" si="24"/>
        <v>500000</v>
      </c>
      <c r="N145" s="7"/>
    </row>
    <row r="146" spans="1:14" x14ac:dyDescent="0.25">
      <c r="A146">
        <f t="shared" si="32"/>
        <v>145</v>
      </c>
      <c r="B146" s="1">
        <v>16000000000</v>
      </c>
      <c r="C146" s="1">
        <v>1000000000</v>
      </c>
      <c r="D146">
        <f t="shared" si="23"/>
        <v>4.2300000000000004</v>
      </c>
      <c r="E146" s="1">
        <f t="shared" si="22"/>
        <v>42300.000000000007</v>
      </c>
      <c r="F146" s="1">
        <f t="shared" si="25"/>
        <v>23640.661938534275</v>
      </c>
      <c r="G146" s="1">
        <f t="shared" si="26"/>
        <v>11820.330969267137</v>
      </c>
      <c r="H146" s="1">
        <f t="shared" si="27"/>
        <v>4728.1323877068553</v>
      </c>
      <c r="I146" s="1">
        <f t="shared" si="28"/>
        <v>2364.0661938534276</v>
      </c>
      <c r="J146" s="1">
        <f t="shared" si="29"/>
        <v>1576.0441292356184</v>
      </c>
      <c r="K146" s="1">
        <f t="shared" si="30"/>
        <v>788.02206461780918</v>
      </c>
      <c r="L146" s="1">
        <f t="shared" si="31"/>
        <v>236.40661938534274</v>
      </c>
      <c r="M146">
        <f t="shared" si="24"/>
        <v>500000</v>
      </c>
      <c r="N146" s="7"/>
    </row>
    <row r="147" spans="1:14" x14ac:dyDescent="0.25">
      <c r="A147">
        <f t="shared" si="32"/>
        <v>146</v>
      </c>
      <c r="B147" s="1">
        <v>17000000000</v>
      </c>
      <c r="C147" s="1">
        <v>1000000000</v>
      </c>
      <c r="D147">
        <f t="shared" si="23"/>
        <v>4.2699999999999996</v>
      </c>
      <c r="E147" s="1">
        <f t="shared" si="22"/>
        <v>42699.999999999993</v>
      </c>
      <c r="F147" s="1">
        <f t="shared" si="25"/>
        <v>23419.203747072603</v>
      </c>
      <c r="G147" s="1">
        <f t="shared" si="26"/>
        <v>11709.601873536301</v>
      </c>
      <c r="H147" s="1">
        <f t="shared" si="27"/>
        <v>4683.8407494145204</v>
      </c>
      <c r="I147" s="1">
        <f t="shared" si="28"/>
        <v>2341.9203747072602</v>
      </c>
      <c r="J147" s="1">
        <f t="shared" si="29"/>
        <v>1561.2802498048402</v>
      </c>
      <c r="K147" s="1">
        <f t="shared" si="30"/>
        <v>780.6401249024201</v>
      </c>
      <c r="L147" s="1">
        <f t="shared" si="31"/>
        <v>234.19203747072604</v>
      </c>
      <c r="M147">
        <f t="shared" si="24"/>
        <v>500000</v>
      </c>
      <c r="N147" s="7"/>
    </row>
    <row r="148" spans="1:14" x14ac:dyDescent="0.25">
      <c r="A148">
        <f t="shared" si="32"/>
        <v>147</v>
      </c>
      <c r="B148" s="1">
        <v>18000000000</v>
      </c>
      <c r="C148" s="1">
        <v>1000000000</v>
      </c>
      <c r="D148">
        <f t="shared" si="23"/>
        <v>4.32</v>
      </c>
      <c r="E148" s="1">
        <f t="shared" si="22"/>
        <v>43200</v>
      </c>
      <c r="F148" s="1">
        <f t="shared" si="25"/>
        <v>46296.296296296299</v>
      </c>
      <c r="G148" s="1">
        <f t="shared" si="26"/>
        <v>23148.14814814815</v>
      </c>
      <c r="H148" s="1">
        <f t="shared" si="27"/>
        <v>9259.2592592592591</v>
      </c>
      <c r="I148" s="1">
        <f t="shared" si="28"/>
        <v>4629.6296296296296</v>
      </c>
      <c r="J148" s="1">
        <f t="shared" si="29"/>
        <v>3086.4197530864199</v>
      </c>
      <c r="K148" s="1">
        <f t="shared" si="30"/>
        <v>1543.2098765432099</v>
      </c>
      <c r="L148" s="1">
        <f t="shared" si="31"/>
        <v>462.96296296296299</v>
      </c>
      <c r="M148">
        <f t="shared" si="24"/>
        <v>1000000</v>
      </c>
      <c r="N148" s="7"/>
    </row>
    <row r="149" spans="1:14" x14ac:dyDescent="0.25">
      <c r="A149">
        <f t="shared" si="32"/>
        <v>148</v>
      </c>
      <c r="B149" s="1">
        <v>20000000000</v>
      </c>
      <c r="C149" s="1">
        <v>2000000000</v>
      </c>
      <c r="D149">
        <f t="shared" si="23"/>
        <v>4.3600000000000003</v>
      </c>
      <c r="E149" s="1">
        <f t="shared" si="22"/>
        <v>43600</v>
      </c>
      <c r="F149" s="1">
        <f t="shared" si="25"/>
        <v>45871.559633027522</v>
      </c>
      <c r="G149" s="1">
        <f t="shared" si="26"/>
        <v>22935.779816513761</v>
      </c>
      <c r="H149" s="1">
        <f t="shared" si="27"/>
        <v>9174.3119266055037</v>
      </c>
      <c r="I149" s="1">
        <f t="shared" si="28"/>
        <v>4587.1559633027518</v>
      </c>
      <c r="J149" s="1">
        <f t="shared" si="29"/>
        <v>3058.103975535168</v>
      </c>
      <c r="K149" s="1">
        <f t="shared" si="30"/>
        <v>1529.051987767584</v>
      </c>
      <c r="L149" s="1">
        <f t="shared" si="31"/>
        <v>458.71559633027522</v>
      </c>
      <c r="M149">
        <f t="shared" si="24"/>
        <v>1000000</v>
      </c>
      <c r="N149" s="7"/>
    </row>
    <row r="150" spans="1:14" x14ac:dyDescent="0.25">
      <c r="A150">
        <f t="shared" si="32"/>
        <v>149</v>
      </c>
      <c r="B150" s="1">
        <v>22000000000</v>
      </c>
      <c r="C150" s="1">
        <v>2000000000</v>
      </c>
      <c r="D150">
        <f t="shared" si="23"/>
        <v>4.4000000000000004</v>
      </c>
      <c r="E150" s="1">
        <f t="shared" si="22"/>
        <v>44000</v>
      </c>
      <c r="F150" s="1">
        <f t="shared" si="25"/>
        <v>45454.545454545456</v>
      </c>
      <c r="G150" s="1">
        <f t="shared" si="26"/>
        <v>22727.272727272728</v>
      </c>
      <c r="H150" s="1">
        <f t="shared" si="27"/>
        <v>9090.9090909090901</v>
      </c>
      <c r="I150" s="1">
        <f t="shared" si="28"/>
        <v>4545.454545454545</v>
      </c>
      <c r="J150" s="1">
        <f t="shared" si="29"/>
        <v>3030.3030303030305</v>
      </c>
      <c r="K150" s="1">
        <f t="shared" si="30"/>
        <v>1515.1515151515152</v>
      </c>
      <c r="L150" s="1">
        <f t="shared" si="31"/>
        <v>454.54545454545456</v>
      </c>
      <c r="M150">
        <f t="shared" si="24"/>
        <v>1000000</v>
      </c>
      <c r="N150" s="7"/>
    </row>
    <row r="151" spans="1:14" x14ac:dyDescent="0.25">
      <c r="A151">
        <f t="shared" si="32"/>
        <v>150</v>
      </c>
      <c r="B151" s="1">
        <v>24000000000</v>
      </c>
      <c r="C151" s="1">
        <v>2000000000</v>
      </c>
      <c r="D151">
        <f t="shared" si="23"/>
        <v>4.45</v>
      </c>
      <c r="E151" s="1">
        <f t="shared" si="22"/>
        <v>44500</v>
      </c>
      <c r="F151" s="1">
        <f t="shared" si="25"/>
        <v>44943.8202247191</v>
      </c>
      <c r="G151" s="1">
        <f t="shared" si="26"/>
        <v>22471.91011235955</v>
      </c>
      <c r="H151" s="1">
        <f t="shared" si="27"/>
        <v>8988.7640449438204</v>
      </c>
      <c r="I151" s="1">
        <f t="shared" si="28"/>
        <v>4494.3820224719102</v>
      </c>
      <c r="J151" s="1">
        <f t="shared" si="29"/>
        <v>2996.2546816479403</v>
      </c>
      <c r="K151" s="1">
        <f t="shared" si="30"/>
        <v>1498.1273408239701</v>
      </c>
      <c r="L151" s="1">
        <f t="shared" si="31"/>
        <v>449.43820224719099</v>
      </c>
      <c r="M151">
        <f t="shared" si="24"/>
        <v>1000000</v>
      </c>
      <c r="N151" s="7"/>
    </row>
    <row r="152" spans="1:14" x14ac:dyDescent="0.25">
      <c r="A152">
        <f t="shared" si="32"/>
        <v>151</v>
      </c>
      <c r="B152" s="1">
        <v>26000000000</v>
      </c>
      <c r="C152" s="1">
        <v>2000000000</v>
      </c>
      <c r="D152">
        <f t="shared" si="23"/>
        <v>4.49</v>
      </c>
      <c r="E152" s="1">
        <f t="shared" si="22"/>
        <v>44900</v>
      </c>
      <c r="F152" s="1">
        <f t="shared" si="25"/>
        <v>44543.429844097998</v>
      </c>
      <c r="G152" s="1">
        <f t="shared" si="26"/>
        <v>22271.714922048999</v>
      </c>
      <c r="H152" s="1">
        <f t="shared" si="27"/>
        <v>8908.6859688195982</v>
      </c>
      <c r="I152" s="1">
        <f t="shared" si="28"/>
        <v>4454.3429844097991</v>
      </c>
      <c r="J152" s="1">
        <f t="shared" si="29"/>
        <v>2969.5619896065332</v>
      </c>
      <c r="K152" s="1">
        <f t="shared" si="30"/>
        <v>1484.7809948032666</v>
      </c>
      <c r="L152" s="1">
        <f t="shared" si="31"/>
        <v>445.43429844097994</v>
      </c>
      <c r="M152">
        <f t="shared" si="24"/>
        <v>1000000</v>
      </c>
      <c r="N152" s="7"/>
    </row>
    <row r="153" spans="1:14" x14ac:dyDescent="0.25">
      <c r="A153">
        <f t="shared" si="32"/>
        <v>152</v>
      </c>
      <c r="B153" s="1">
        <v>28000000000</v>
      </c>
      <c r="C153" s="1">
        <v>2000000000</v>
      </c>
      <c r="D153">
        <f t="shared" si="23"/>
        <v>4.54</v>
      </c>
      <c r="E153" s="1">
        <f t="shared" si="22"/>
        <v>45400</v>
      </c>
      <c r="F153" s="1">
        <f t="shared" si="25"/>
        <v>44052.863436123349</v>
      </c>
      <c r="G153" s="1">
        <f t="shared" si="26"/>
        <v>22026.431718061674</v>
      </c>
      <c r="H153" s="1">
        <f t="shared" si="27"/>
        <v>8810.5726872246687</v>
      </c>
      <c r="I153" s="1">
        <f t="shared" si="28"/>
        <v>4405.2863436123343</v>
      </c>
      <c r="J153" s="1">
        <f t="shared" si="29"/>
        <v>2936.8575624082232</v>
      </c>
      <c r="K153" s="1">
        <f t="shared" si="30"/>
        <v>1468.4287812041116</v>
      </c>
      <c r="L153" s="1">
        <f t="shared" si="31"/>
        <v>440.52863436123346</v>
      </c>
      <c r="M153">
        <f t="shared" si="24"/>
        <v>1000000</v>
      </c>
      <c r="N153" s="7"/>
    </row>
    <row r="154" spans="1:14" x14ac:dyDescent="0.25">
      <c r="A154">
        <f t="shared" si="32"/>
        <v>153</v>
      </c>
      <c r="B154" s="1">
        <v>30000000000</v>
      </c>
      <c r="C154" s="1">
        <v>2000000000</v>
      </c>
      <c r="D154">
        <f t="shared" si="23"/>
        <v>4.58</v>
      </c>
      <c r="E154" s="1">
        <f t="shared" si="22"/>
        <v>45800</v>
      </c>
      <c r="F154" s="1">
        <f t="shared" si="25"/>
        <v>43668.122270742359</v>
      </c>
      <c r="G154" s="1">
        <f t="shared" si="26"/>
        <v>21834.061135371179</v>
      </c>
      <c r="H154" s="1">
        <f t="shared" si="27"/>
        <v>8733.6244541484721</v>
      </c>
      <c r="I154" s="1">
        <f t="shared" si="28"/>
        <v>4366.812227074236</v>
      </c>
      <c r="J154" s="1">
        <f t="shared" si="29"/>
        <v>2911.2081513828239</v>
      </c>
      <c r="K154" s="1">
        <f t="shared" si="30"/>
        <v>1455.6040756914119</v>
      </c>
      <c r="L154" s="1">
        <f t="shared" si="31"/>
        <v>436.68122270742356</v>
      </c>
      <c r="M154">
        <f t="shared" si="24"/>
        <v>1000000</v>
      </c>
      <c r="N154" s="7"/>
    </row>
    <row r="155" spans="1:14" x14ac:dyDescent="0.25">
      <c r="A155">
        <f t="shared" si="32"/>
        <v>154</v>
      </c>
      <c r="B155" s="1">
        <v>32000000000</v>
      </c>
      <c r="C155" s="1">
        <v>2000000000</v>
      </c>
      <c r="D155">
        <f t="shared" si="23"/>
        <v>4.63</v>
      </c>
      <c r="E155" s="1">
        <f t="shared" si="22"/>
        <v>46300</v>
      </c>
      <c r="F155" s="1">
        <f t="shared" si="25"/>
        <v>64794.816414686822</v>
      </c>
      <c r="G155" s="1">
        <f t="shared" si="26"/>
        <v>32397.408207343411</v>
      </c>
      <c r="H155" s="1">
        <f t="shared" si="27"/>
        <v>12958.963282937366</v>
      </c>
      <c r="I155" s="1">
        <f t="shared" si="28"/>
        <v>6479.4816414686829</v>
      </c>
      <c r="J155" s="1">
        <f t="shared" si="29"/>
        <v>4319.654427645788</v>
      </c>
      <c r="K155" s="1">
        <f t="shared" si="30"/>
        <v>2159.827213822894</v>
      </c>
      <c r="L155" s="1">
        <f t="shared" si="31"/>
        <v>647.94816414686829</v>
      </c>
      <c r="M155">
        <f t="shared" si="24"/>
        <v>1500000</v>
      </c>
      <c r="N155" s="7"/>
    </row>
    <row r="156" spans="1:14" x14ac:dyDescent="0.25">
      <c r="A156">
        <f t="shared" si="32"/>
        <v>155</v>
      </c>
      <c r="B156" s="1">
        <v>35000000000</v>
      </c>
      <c r="C156" s="1">
        <v>3000000000</v>
      </c>
      <c r="D156">
        <f t="shared" si="23"/>
        <v>4.68</v>
      </c>
      <c r="E156" s="1">
        <f t="shared" si="22"/>
        <v>46800</v>
      </c>
      <c r="F156" s="1">
        <f t="shared" si="25"/>
        <v>64102.564102564102</v>
      </c>
      <c r="G156" s="1">
        <f t="shared" si="26"/>
        <v>32051.282051282051</v>
      </c>
      <c r="H156" s="1">
        <f t="shared" si="27"/>
        <v>12820.51282051282</v>
      </c>
      <c r="I156" s="1">
        <f t="shared" si="28"/>
        <v>6410.2564102564102</v>
      </c>
      <c r="J156" s="1">
        <f t="shared" si="29"/>
        <v>4273.5042735042734</v>
      </c>
      <c r="K156" s="1">
        <f t="shared" si="30"/>
        <v>2136.7521367521367</v>
      </c>
      <c r="L156" s="1">
        <f t="shared" si="31"/>
        <v>641.02564102564099</v>
      </c>
      <c r="M156">
        <f t="shared" si="24"/>
        <v>1500000</v>
      </c>
      <c r="N156" s="7"/>
    </row>
    <row r="157" spans="1:14" x14ac:dyDescent="0.25">
      <c r="A157">
        <f t="shared" si="32"/>
        <v>156</v>
      </c>
      <c r="B157" s="1">
        <v>38000000000</v>
      </c>
      <c r="C157" s="1">
        <v>3000000000</v>
      </c>
      <c r="D157">
        <f t="shared" si="23"/>
        <v>4.72</v>
      </c>
      <c r="E157" s="1">
        <f t="shared" si="22"/>
        <v>47200</v>
      </c>
      <c r="F157" s="1">
        <f t="shared" si="25"/>
        <v>63559.322033898308</v>
      </c>
      <c r="G157" s="1">
        <f t="shared" si="26"/>
        <v>31779.661016949154</v>
      </c>
      <c r="H157" s="1">
        <f t="shared" si="27"/>
        <v>12711.864406779661</v>
      </c>
      <c r="I157" s="1">
        <f t="shared" si="28"/>
        <v>6355.9322033898306</v>
      </c>
      <c r="J157" s="1">
        <f t="shared" si="29"/>
        <v>4237.2881355932204</v>
      </c>
      <c r="K157" s="1">
        <f t="shared" si="30"/>
        <v>2118.6440677966102</v>
      </c>
      <c r="L157" s="1">
        <f t="shared" si="31"/>
        <v>635.59322033898309</v>
      </c>
      <c r="M157">
        <f t="shared" si="24"/>
        <v>1500000</v>
      </c>
      <c r="N157" s="7"/>
    </row>
    <row r="158" spans="1:14" x14ac:dyDescent="0.25">
      <c r="A158">
        <f t="shared" si="32"/>
        <v>157</v>
      </c>
      <c r="B158" s="1">
        <v>41000000000</v>
      </c>
      <c r="C158" s="1">
        <v>3000000000</v>
      </c>
      <c r="D158">
        <f t="shared" si="23"/>
        <v>4.7699999999999996</v>
      </c>
      <c r="E158" s="1">
        <f t="shared" si="22"/>
        <v>47699.999999999993</v>
      </c>
      <c r="F158" s="1">
        <f t="shared" si="25"/>
        <v>62893.081761006302</v>
      </c>
      <c r="G158" s="1">
        <f t="shared" si="26"/>
        <v>31446.540880503151</v>
      </c>
      <c r="H158" s="1">
        <f t="shared" si="27"/>
        <v>12578.616352201259</v>
      </c>
      <c r="I158" s="1">
        <f t="shared" si="28"/>
        <v>6289.3081761006297</v>
      </c>
      <c r="J158" s="1">
        <f t="shared" si="29"/>
        <v>4192.8721174004204</v>
      </c>
      <c r="K158" s="1">
        <f t="shared" si="30"/>
        <v>2096.4360587002102</v>
      </c>
      <c r="L158" s="1">
        <f t="shared" si="31"/>
        <v>628.93081761006306</v>
      </c>
      <c r="M158">
        <f t="shared" si="24"/>
        <v>1500000</v>
      </c>
      <c r="N158" s="7"/>
    </row>
    <row r="159" spans="1:14" x14ac:dyDescent="0.25">
      <c r="A159">
        <f t="shared" si="32"/>
        <v>158</v>
      </c>
      <c r="B159" s="1">
        <v>44000000000</v>
      </c>
      <c r="C159" s="1">
        <v>3000000000</v>
      </c>
      <c r="D159">
        <f t="shared" si="23"/>
        <v>4.82</v>
      </c>
      <c r="E159" s="1">
        <f t="shared" si="22"/>
        <v>48200</v>
      </c>
      <c r="F159" s="1">
        <f t="shared" si="25"/>
        <v>82987.55186721991</v>
      </c>
      <c r="G159" s="1">
        <f t="shared" si="26"/>
        <v>41493.775933609955</v>
      </c>
      <c r="H159" s="1">
        <f t="shared" si="27"/>
        <v>16597.510373443984</v>
      </c>
      <c r="I159" s="1">
        <f t="shared" si="28"/>
        <v>8298.7551867219918</v>
      </c>
      <c r="J159" s="1">
        <f t="shared" si="29"/>
        <v>5532.5034578146615</v>
      </c>
      <c r="K159" s="1">
        <f t="shared" si="30"/>
        <v>2766.2517289073307</v>
      </c>
      <c r="L159" s="1">
        <f t="shared" si="31"/>
        <v>829.87551867219918</v>
      </c>
      <c r="M159">
        <f t="shared" si="24"/>
        <v>2000000</v>
      </c>
      <c r="N159" s="7"/>
    </row>
    <row r="160" spans="1:14" x14ac:dyDescent="0.25">
      <c r="A160">
        <f t="shared" si="32"/>
        <v>159</v>
      </c>
      <c r="B160" s="1">
        <v>48000000000</v>
      </c>
      <c r="C160" s="1">
        <v>4000000000</v>
      </c>
      <c r="D160">
        <f t="shared" si="23"/>
        <v>4.87</v>
      </c>
      <c r="E160" s="1">
        <f t="shared" si="22"/>
        <v>48700</v>
      </c>
      <c r="F160" s="1">
        <f t="shared" si="25"/>
        <v>82135.523613963043</v>
      </c>
      <c r="G160" s="1">
        <f t="shared" si="26"/>
        <v>41067.761806981522</v>
      </c>
      <c r="H160" s="1">
        <f t="shared" si="27"/>
        <v>16427.104722792606</v>
      </c>
      <c r="I160" s="1">
        <f t="shared" si="28"/>
        <v>8213.5523613963032</v>
      </c>
      <c r="J160" s="1">
        <f t="shared" si="29"/>
        <v>5475.7015742642025</v>
      </c>
      <c r="K160" s="1">
        <f t="shared" si="30"/>
        <v>2737.8507871321012</v>
      </c>
      <c r="L160" s="1">
        <f t="shared" si="31"/>
        <v>821.35523613963039</v>
      </c>
      <c r="M160">
        <f t="shared" si="24"/>
        <v>2000000</v>
      </c>
      <c r="N160" s="7"/>
    </row>
    <row r="161" spans="1:14" x14ac:dyDescent="0.25">
      <c r="A161">
        <f t="shared" si="32"/>
        <v>160</v>
      </c>
      <c r="B161" s="1">
        <v>52000000000</v>
      </c>
      <c r="C161" s="1">
        <v>4000000000</v>
      </c>
      <c r="D161">
        <f t="shared" si="23"/>
        <v>4.91</v>
      </c>
      <c r="E161" s="1">
        <f t="shared" si="22"/>
        <v>49100</v>
      </c>
      <c r="F161" s="1">
        <f t="shared" si="25"/>
        <v>81466.395112016296</v>
      </c>
      <c r="G161" s="1">
        <f t="shared" si="26"/>
        <v>40733.197556008148</v>
      </c>
      <c r="H161" s="1">
        <f t="shared" si="27"/>
        <v>16293.279022403258</v>
      </c>
      <c r="I161" s="1">
        <f t="shared" si="28"/>
        <v>8146.6395112016289</v>
      </c>
      <c r="J161" s="1">
        <f t="shared" si="29"/>
        <v>5431.0930074677526</v>
      </c>
      <c r="K161" s="1">
        <f t="shared" si="30"/>
        <v>2715.5465037338763</v>
      </c>
      <c r="L161" s="1">
        <f t="shared" si="31"/>
        <v>814.66395112016289</v>
      </c>
      <c r="M161">
        <f t="shared" si="24"/>
        <v>2000000</v>
      </c>
      <c r="N161" s="7"/>
    </row>
    <row r="162" spans="1:14" x14ac:dyDescent="0.25">
      <c r="A162">
        <f t="shared" si="32"/>
        <v>161</v>
      </c>
      <c r="B162" s="1">
        <v>56000000000</v>
      </c>
      <c r="C162" s="1">
        <v>4000000000</v>
      </c>
      <c r="D162">
        <f t="shared" si="23"/>
        <v>4.96</v>
      </c>
      <c r="E162" s="1">
        <f t="shared" si="22"/>
        <v>49600</v>
      </c>
      <c r="F162" s="1">
        <f t="shared" si="25"/>
        <v>80645.161290322576</v>
      </c>
      <c r="G162" s="1">
        <f t="shared" si="26"/>
        <v>40322.580645161288</v>
      </c>
      <c r="H162" s="1">
        <f t="shared" si="27"/>
        <v>16129.032258064517</v>
      </c>
      <c r="I162" s="1">
        <f t="shared" si="28"/>
        <v>8064.5161290322585</v>
      </c>
      <c r="J162" s="1">
        <f t="shared" si="29"/>
        <v>5376.3440860215051</v>
      </c>
      <c r="K162" s="1">
        <f t="shared" si="30"/>
        <v>2688.1720430107525</v>
      </c>
      <c r="L162" s="1">
        <f t="shared" si="31"/>
        <v>806.45161290322585</v>
      </c>
      <c r="M162">
        <f t="shared" si="24"/>
        <v>2000000</v>
      </c>
      <c r="N162" s="7"/>
    </row>
    <row r="163" spans="1:14" x14ac:dyDescent="0.25">
      <c r="A163">
        <f t="shared" si="32"/>
        <v>162</v>
      </c>
      <c r="B163" s="1">
        <v>60000000000</v>
      </c>
      <c r="C163" s="1">
        <v>4000000000</v>
      </c>
      <c r="D163">
        <f t="shared" si="23"/>
        <v>5.01</v>
      </c>
      <c r="E163" s="1">
        <f t="shared" si="22"/>
        <v>50100</v>
      </c>
      <c r="F163" s="1">
        <f t="shared" si="25"/>
        <v>99800.399201596811</v>
      </c>
      <c r="G163" s="1">
        <f t="shared" si="26"/>
        <v>49900.199600798405</v>
      </c>
      <c r="H163" s="1">
        <f t="shared" si="27"/>
        <v>19960.079840319362</v>
      </c>
      <c r="I163" s="1">
        <f t="shared" si="28"/>
        <v>9980.0399201596811</v>
      </c>
      <c r="J163" s="1">
        <f t="shared" si="29"/>
        <v>6653.3599467731201</v>
      </c>
      <c r="K163" s="1">
        <f t="shared" si="30"/>
        <v>3326.6799733865601</v>
      </c>
      <c r="L163" s="1">
        <f t="shared" si="31"/>
        <v>998.00399201596804</v>
      </c>
      <c r="M163">
        <f t="shared" si="24"/>
        <v>2500000</v>
      </c>
      <c r="N163" s="7"/>
    </row>
    <row r="164" spans="1:14" x14ac:dyDescent="0.25">
      <c r="A164">
        <f t="shared" si="32"/>
        <v>163</v>
      </c>
      <c r="B164" s="1">
        <v>65000000000</v>
      </c>
      <c r="C164" s="1">
        <v>5000000000</v>
      </c>
      <c r="D164">
        <f t="shared" si="23"/>
        <v>5.0599999999999996</v>
      </c>
      <c r="E164" s="1">
        <f t="shared" si="22"/>
        <v>50599.999999999993</v>
      </c>
      <c r="F164" s="1">
        <f t="shared" si="25"/>
        <v>98814.229249011871</v>
      </c>
      <c r="G164" s="1">
        <f t="shared" si="26"/>
        <v>49407.114624505935</v>
      </c>
      <c r="H164" s="1">
        <f t="shared" si="27"/>
        <v>19762.845849802376</v>
      </c>
      <c r="I164" s="1">
        <f t="shared" si="28"/>
        <v>9881.4229249011878</v>
      </c>
      <c r="J164" s="1">
        <f t="shared" si="29"/>
        <v>6587.6152832674579</v>
      </c>
      <c r="K164" s="1">
        <f t="shared" si="30"/>
        <v>3293.807641633729</v>
      </c>
      <c r="L164" s="1">
        <f t="shared" si="31"/>
        <v>988.14229249011873</v>
      </c>
      <c r="M164">
        <f t="shared" si="24"/>
        <v>2500000</v>
      </c>
      <c r="N164" s="7"/>
    </row>
    <row r="165" spans="1:14" x14ac:dyDescent="0.25">
      <c r="A165">
        <f t="shared" si="32"/>
        <v>164</v>
      </c>
      <c r="B165" s="1">
        <v>70000000000</v>
      </c>
      <c r="C165" s="1">
        <v>5000000000</v>
      </c>
      <c r="D165">
        <f t="shared" si="23"/>
        <v>5.1100000000000003</v>
      </c>
      <c r="E165" s="1">
        <f t="shared" si="22"/>
        <v>51100</v>
      </c>
      <c r="F165" s="1">
        <f t="shared" si="25"/>
        <v>117416.82974559687</v>
      </c>
      <c r="G165" s="1">
        <f t="shared" si="26"/>
        <v>58708.414872798436</v>
      </c>
      <c r="H165" s="1">
        <f t="shared" si="27"/>
        <v>23483.365949119372</v>
      </c>
      <c r="I165" s="1">
        <f t="shared" si="28"/>
        <v>11741.682974559686</v>
      </c>
      <c r="J165" s="1">
        <f t="shared" si="29"/>
        <v>7827.7886497064583</v>
      </c>
      <c r="K165" s="1">
        <f t="shared" si="30"/>
        <v>3913.8943248532291</v>
      </c>
      <c r="L165" s="1">
        <f t="shared" si="31"/>
        <v>1174.1682974559687</v>
      </c>
      <c r="M165">
        <f t="shared" si="24"/>
        <v>3000000</v>
      </c>
      <c r="N165" s="7"/>
    </row>
    <row r="166" spans="1:14" x14ac:dyDescent="0.25">
      <c r="A166">
        <f t="shared" si="32"/>
        <v>165</v>
      </c>
      <c r="B166" s="1">
        <v>76000000000</v>
      </c>
      <c r="C166" s="1">
        <v>6000000000</v>
      </c>
      <c r="D166">
        <f t="shared" si="23"/>
        <v>5.16</v>
      </c>
      <c r="E166" s="1">
        <f t="shared" si="22"/>
        <v>51600</v>
      </c>
      <c r="F166" s="1">
        <f t="shared" si="25"/>
        <v>116279.06976744186</v>
      </c>
      <c r="G166" s="1">
        <f t="shared" si="26"/>
        <v>58139.534883720931</v>
      </c>
      <c r="H166" s="1">
        <f t="shared" si="27"/>
        <v>23255.81395348837</v>
      </c>
      <c r="I166" s="1">
        <f t="shared" si="28"/>
        <v>11627.906976744185</v>
      </c>
      <c r="J166" s="1">
        <f t="shared" si="29"/>
        <v>7751.937984496124</v>
      </c>
      <c r="K166" s="1">
        <f t="shared" si="30"/>
        <v>3875.968992248062</v>
      </c>
      <c r="L166" s="1">
        <f t="shared" si="31"/>
        <v>1162.7906976744187</v>
      </c>
      <c r="M166">
        <f t="shared" si="24"/>
        <v>3000000</v>
      </c>
      <c r="N166" s="7"/>
    </row>
    <row r="167" spans="1:14" x14ac:dyDescent="0.25">
      <c r="A167">
        <f t="shared" si="32"/>
        <v>166</v>
      </c>
      <c r="B167" s="1">
        <v>82000000000</v>
      </c>
      <c r="C167" s="1">
        <v>6000000000</v>
      </c>
      <c r="D167">
        <f t="shared" si="23"/>
        <v>5.22</v>
      </c>
      <c r="E167" s="1">
        <f t="shared" si="22"/>
        <v>52200</v>
      </c>
      <c r="F167" s="1">
        <f t="shared" si="25"/>
        <v>134099.61685823754</v>
      </c>
      <c r="G167" s="1">
        <f t="shared" si="26"/>
        <v>67049.80842911877</v>
      </c>
      <c r="H167" s="1">
        <f t="shared" si="27"/>
        <v>26819.92337164751</v>
      </c>
      <c r="I167" s="1">
        <f t="shared" si="28"/>
        <v>13409.961685823755</v>
      </c>
      <c r="J167" s="1">
        <f t="shared" si="29"/>
        <v>8939.9744572158361</v>
      </c>
      <c r="K167" s="1">
        <f t="shared" si="30"/>
        <v>4469.987228607918</v>
      </c>
      <c r="L167" s="1">
        <f t="shared" si="31"/>
        <v>1340.9961685823755</v>
      </c>
      <c r="M167">
        <f t="shared" si="24"/>
        <v>3500000</v>
      </c>
      <c r="N167" s="7"/>
    </row>
    <row r="168" spans="1:14" x14ac:dyDescent="0.25">
      <c r="A168">
        <f t="shared" si="32"/>
        <v>167</v>
      </c>
      <c r="B168" s="1">
        <v>89000000000</v>
      </c>
      <c r="C168" s="1">
        <v>7000000000</v>
      </c>
      <c r="D168">
        <f t="shared" si="23"/>
        <v>5.27</v>
      </c>
      <c r="E168" s="1">
        <f t="shared" si="22"/>
        <v>52699.999999999993</v>
      </c>
      <c r="F168" s="1">
        <f t="shared" si="25"/>
        <v>132827.32447817837</v>
      </c>
      <c r="G168" s="1">
        <f t="shared" si="26"/>
        <v>66413.662239089186</v>
      </c>
      <c r="H168" s="1">
        <f t="shared" si="27"/>
        <v>26565.46489563568</v>
      </c>
      <c r="I168" s="1">
        <f t="shared" si="28"/>
        <v>13282.73244781784</v>
      </c>
      <c r="J168" s="1">
        <f t="shared" si="29"/>
        <v>8855.154965211892</v>
      </c>
      <c r="K168" s="1">
        <f t="shared" si="30"/>
        <v>4427.577482605946</v>
      </c>
      <c r="L168" s="1">
        <f t="shared" si="31"/>
        <v>1328.2732447817839</v>
      </c>
      <c r="M168">
        <f t="shared" si="24"/>
        <v>3500000</v>
      </c>
      <c r="N168" s="7"/>
    </row>
    <row r="169" spans="1:14" x14ac:dyDescent="0.25">
      <c r="A169">
        <f t="shared" si="32"/>
        <v>168</v>
      </c>
      <c r="B169" s="1">
        <v>96000000000</v>
      </c>
      <c r="C169" s="1">
        <v>7000000000</v>
      </c>
      <c r="D169">
        <f t="shared" si="23"/>
        <v>5.32</v>
      </c>
      <c r="E169" s="1">
        <f t="shared" si="22"/>
        <v>53200</v>
      </c>
      <c r="F169" s="1">
        <f t="shared" si="25"/>
        <v>150375.93984962406</v>
      </c>
      <c r="G169" s="1">
        <f t="shared" si="26"/>
        <v>75187.969924812031</v>
      </c>
      <c r="H169" s="1">
        <f t="shared" si="27"/>
        <v>30075.187969924813</v>
      </c>
      <c r="I169" s="1">
        <f t="shared" si="28"/>
        <v>15037.593984962406</v>
      </c>
      <c r="J169" s="1">
        <f t="shared" si="29"/>
        <v>10025.062656641605</v>
      </c>
      <c r="K169" s="1">
        <f t="shared" si="30"/>
        <v>5012.5313283208025</v>
      </c>
      <c r="L169" s="1">
        <f t="shared" si="31"/>
        <v>1503.7593984962407</v>
      </c>
      <c r="M169">
        <f t="shared" si="24"/>
        <v>4000000</v>
      </c>
      <c r="N169" s="7"/>
    </row>
    <row r="170" spans="1:14" x14ac:dyDescent="0.25">
      <c r="A170">
        <f t="shared" si="32"/>
        <v>169</v>
      </c>
      <c r="B170" s="1">
        <v>104000000000</v>
      </c>
      <c r="C170" s="1">
        <v>8000000000</v>
      </c>
      <c r="D170">
        <f t="shared" si="23"/>
        <v>5.37</v>
      </c>
      <c r="E170" s="1">
        <f t="shared" si="22"/>
        <v>53700</v>
      </c>
      <c r="F170" s="1">
        <f t="shared" si="25"/>
        <v>148975.79143389198</v>
      </c>
      <c r="G170" s="1">
        <f t="shared" si="26"/>
        <v>74487.89571694599</v>
      </c>
      <c r="H170" s="1">
        <f t="shared" si="27"/>
        <v>29795.158286778398</v>
      </c>
      <c r="I170" s="1">
        <f t="shared" si="28"/>
        <v>14897.579143389199</v>
      </c>
      <c r="J170" s="1">
        <f t="shared" si="29"/>
        <v>9931.7194289261333</v>
      </c>
      <c r="K170" s="1">
        <f t="shared" si="30"/>
        <v>4965.8597144630667</v>
      </c>
      <c r="L170" s="1">
        <f t="shared" si="31"/>
        <v>1489.7579143389198</v>
      </c>
      <c r="M170">
        <f t="shared" si="24"/>
        <v>4000000</v>
      </c>
      <c r="N170" s="7"/>
    </row>
    <row r="171" spans="1:14" x14ac:dyDescent="0.25">
      <c r="A171">
        <f t="shared" si="32"/>
        <v>170</v>
      </c>
      <c r="B171" s="1">
        <v>112000000000</v>
      </c>
      <c r="C171" s="1">
        <v>8000000000</v>
      </c>
      <c r="D171">
        <f t="shared" si="23"/>
        <v>5.43</v>
      </c>
      <c r="E171" s="1">
        <f t="shared" si="22"/>
        <v>54300</v>
      </c>
      <c r="F171" s="1">
        <f t="shared" si="25"/>
        <v>165745.85635359117</v>
      </c>
      <c r="G171" s="1">
        <f t="shared" si="26"/>
        <v>82872.928176795584</v>
      </c>
      <c r="H171" s="1">
        <f t="shared" si="27"/>
        <v>33149.171270718231</v>
      </c>
      <c r="I171" s="1">
        <f t="shared" si="28"/>
        <v>16574.585635359115</v>
      </c>
      <c r="J171" s="1">
        <f t="shared" si="29"/>
        <v>11049.723756906078</v>
      </c>
      <c r="K171" s="1">
        <f t="shared" si="30"/>
        <v>5524.861878453039</v>
      </c>
      <c r="L171" s="1">
        <f t="shared" si="31"/>
        <v>1657.4585635359117</v>
      </c>
      <c r="M171">
        <f t="shared" si="24"/>
        <v>4500000</v>
      </c>
      <c r="N171" s="7"/>
    </row>
    <row r="172" spans="1:14" x14ac:dyDescent="0.25">
      <c r="A172">
        <f t="shared" si="32"/>
        <v>171</v>
      </c>
      <c r="B172" s="1">
        <v>121000000000</v>
      </c>
      <c r="C172" s="1">
        <v>9000000000</v>
      </c>
      <c r="D172">
        <f t="shared" si="23"/>
        <v>5.48</v>
      </c>
      <c r="E172" s="1">
        <f t="shared" si="22"/>
        <v>54800.000000000007</v>
      </c>
      <c r="F172" s="1">
        <f t="shared" si="25"/>
        <v>164233.57664233574</v>
      </c>
      <c r="G172" s="1">
        <f t="shared" si="26"/>
        <v>82116.788321167871</v>
      </c>
      <c r="H172" s="1">
        <f t="shared" si="27"/>
        <v>32846.715328467144</v>
      </c>
      <c r="I172" s="1">
        <f t="shared" si="28"/>
        <v>16423.357664233572</v>
      </c>
      <c r="J172" s="1">
        <f t="shared" si="29"/>
        <v>10948.905109489049</v>
      </c>
      <c r="K172" s="1">
        <f t="shared" si="30"/>
        <v>5474.4525547445246</v>
      </c>
      <c r="L172" s="1">
        <f t="shared" si="31"/>
        <v>1642.3357664233574</v>
      </c>
      <c r="M172">
        <f t="shared" si="24"/>
        <v>4500000</v>
      </c>
      <c r="N172" s="7"/>
    </row>
    <row r="173" spans="1:14" x14ac:dyDescent="0.25">
      <c r="A173">
        <f t="shared" si="32"/>
        <v>172</v>
      </c>
      <c r="B173" s="1">
        <v>130000000000</v>
      </c>
      <c r="C173" s="1">
        <v>9000000000</v>
      </c>
      <c r="D173">
        <f t="shared" si="23"/>
        <v>5.54</v>
      </c>
      <c r="E173" s="1">
        <f t="shared" si="22"/>
        <v>55400</v>
      </c>
      <c r="F173" s="1">
        <f t="shared" si="25"/>
        <v>180505.41516245488</v>
      </c>
      <c r="G173" s="1">
        <f t="shared" si="26"/>
        <v>90252.707581227442</v>
      </c>
      <c r="H173" s="1">
        <f t="shared" si="27"/>
        <v>36101.083032490977</v>
      </c>
      <c r="I173" s="1">
        <f t="shared" si="28"/>
        <v>18050.541516245488</v>
      </c>
      <c r="J173" s="1">
        <f t="shared" si="29"/>
        <v>12033.694344163658</v>
      </c>
      <c r="K173" s="1">
        <f t="shared" si="30"/>
        <v>6016.8471720818288</v>
      </c>
      <c r="L173" s="1">
        <f t="shared" si="31"/>
        <v>1805.0541516245487</v>
      </c>
      <c r="M173">
        <f t="shared" si="24"/>
        <v>5000000</v>
      </c>
      <c r="N173" s="7"/>
    </row>
    <row r="174" spans="1:14" x14ac:dyDescent="0.25">
      <c r="A174">
        <f t="shared" si="32"/>
        <v>173</v>
      </c>
      <c r="B174" s="1">
        <v>140000000000</v>
      </c>
      <c r="C174" s="1">
        <v>10000000000</v>
      </c>
      <c r="D174">
        <f t="shared" si="23"/>
        <v>5.59</v>
      </c>
      <c r="E174" s="1">
        <f t="shared" si="22"/>
        <v>55900</v>
      </c>
      <c r="F174" s="1">
        <f t="shared" si="25"/>
        <v>178890.87656529518</v>
      </c>
      <c r="G174" s="1">
        <f t="shared" si="26"/>
        <v>89445.438282647592</v>
      </c>
      <c r="H174" s="1">
        <f t="shared" si="27"/>
        <v>35778.175313059037</v>
      </c>
      <c r="I174" s="1">
        <f t="shared" si="28"/>
        <v>17889.087656529518</v>
      </c>
      <c r="J174" s="1">
        <f t="shared" si="29"/>
        <v>11926.058437686344</v>
      </c>
      <c r="K174" s="1">
        <f t="shared" si="30"/>
        <v>5963.0292188431722</v>
      </c>
      <c r="L174" s="1">
        <f t="shared" si="31"/>
        <v>1788.9087656529516</v>
      </c>
      <c r="M174">
        <f t="shared" si="24"/>
        <v>5000000</v>
      </c>
      <c r="N174" s="7"/>
    </row>
    <row r="175" spans="1:14" x14ac:dyDescent="0.25">
      <c r="A175">
        <f t="shared" si="32"/>
        <v>174</v>
      </c>
      <c r="B175" s="1">
        <v>150000000000</v>
      </c>
      <c r="C175" s="1">
        <v>10000000000</v>
      </c>
      <c r="D175">
        <f t="shared" si="23"/>
        <v>5.65</v>
      </c>
      <c r="E175" s="1">
        <f t="shared" si="22"/>
        <v>56500</v>
      </c>
      <c r="F175" s="1">
        <f t="shared" si="25"/>
        <v>176991.15044247787</v>
      </c>
      <c r="G175" s="1">
        <f t="shared" si="26"/>
        <v>88495.575221238934</v>
      </c>
      <c r="H175" s="1">
        <f t="shared" si="27"/>
        <v>35398.230088495577</v>
      </c>
      <c r="I175" s="1">
        <f t="shared" si="28"/>
        <v>17699.115044247788</v>
      </c>
      <c r="J175" s="1">
        <f t="shared" si="29"/>
        <v>11799.410029498526</v>
      </c>
      <c r="K175" s="1">
        <f t="shared" si="30"/>
        <v>5899.7050147492628</v>
      </c>
      <c r="L175" s="1">
        <f t="shared" si="31"/>
        <v>1769.9115044247787</v>
      </c>
      <c r="M175">
        <f t="shared" si="24"/>
        <v>5000000</v>
      </c>
      <c r="N175" s="7"/>
    </row>
    <row r="176" spans="1:14" x14ac:dyDescent="0.25">
      <c r="A176">
        <f t="shared" si="32"/>
        <v>175</v>
      </c>
      <c r="B176" s="1">
        <v>160000000000</v>
      </c>
      <c r="C176" s="1">
        <v>10000000000</v>
      </c>
      <c r="D176">
        <f t="shared" si="23"/>
        <v>5.7</v>
      </c>
      <c r="E176" s="1">
        <f t="shared" si="22"/>
        <v>57000</v>
      </c>
      <c r="F176" s="1">
        <f t="shared" si="25"/>
        <v>175438.59649122806</v>
      </c>
      <c r="G176" s="1">
        <f t="shared" si="26"/>
        <v>87719.298245614031</v>
      </c>
      <c r="H176" s="1">
        <f t="shared" si="27"/>
        <v>35087.719298245611</v>
      </c>
      <c r="I176" s="1">
        <f t="shared" si="28"/>
        <v>17543.859649122805</v>
      </c>
      <c r="J176" s="1">
        <f t="shared" si="29"/>
        <v>11695.906432748538</v>
      </c>
      <c r="K176" s="1">
        <f t="shared" si="30"/>
        <v>5847.9532163742688</v>
      </c>
      <c r="L176" s="1">
        <f t="shared" si="31"/>
        <v>1754.3859649122808</v>
      </c>
      <c r="M176">
        <f t="shared" si="24"/>
        <v>5000000</v>
      </c>
      <c r="N176" s="7"/>
    </row>
    <row r="177" spans="1:14" x14ac:dyDescent="0.25">
      <c r="A177">
        <f t="shared" si="32"/>
        <v>176</v>
      </c>
      <c r="B177" s="1">
        <v>170000000000</v>
      </c>
      <c r="C177" s="1">
        <v>10000000000</v>
      </c>
      <c r="D177">
        <f t="shared" si="23"/>
        <v>5.76</v>
      </c>
      <c r="E177" s="1">
        <f t="shared" si="22"/>
        <v>57600</v>
      </c>
      <c r="F177" s="1">
        <f t="shared" si="25"/>
        <v>173611.11111111112</v>
      </c>
      <c r="G177" s="1">
        <f t="shared" si="26"/>
        <v>86805.555555555562</v>
      </c>
      <c r="H177" s="1">
        <f t="shared" si="27"/>
        <v>34722.222222222219</v>
      </c>
      <c r="I177" s="1">
        <f t="shared" si="28"/>
        <v>17361.111111111109</v>
      </c>
      <c r="J177" s="1">
        <f t="shared" si="29"/>
        <v>11574.074074074075</v>
      </c>
      <c r="K177" s="1">
        <f t="shared" si="30"/>
        <v>5787.0370370370374</v>
      </c>
      <c r="L177" s="1">
        <f t="shared" si="31"/>
        <v>1736.1111111111111</v>
      </c>
      <c r="M177">
        <f t="shared" si="24"/>
        <v>5000000</v>
      </c>
      <c r="N177" s="7"/>
    </row>
    <row r="178" spans="1:14" x14ac:dyDescent="0.25">
      <c r="A178">
        <f t="shared" si="32"/>
        <v>177</v>
      </c>
      <c r="B178" s="1">
        <v>180000000000</v>
      </c>
      <c r="C178" s="1">
        <v>10000000000</v>
      </c>
      <c r="D178">
        <f t="shared" si="23"/>
        <v>5.82</v>
      </c>
      <c r="E178" s="1">
        <f t="shared" si="22"/>
        <v>58200</v>
      </c>
      <c r="F178" s="1">
        <f t="shared" si="25"/>
        <v>343642.61168384878</v>
      </c>
      <c r="G178" s="1">
        <f t="shared" si="26"/>
        <v>171821.30584192439</v>
      </c>
      <c r="H178" s="1">
        <f t="shared" si="27"/>
        <v>68728.522336769762</v>
      </c>
      <c r="I178" s="1">
        <f t="shared" si="28"/>
        <v>34364.261168384881</v>
      </c>
      <c r="J178" s="1">
        <f t="shared" si="29"/>
        <v>22909.507445589919</v>
      </c>
      <c r="K178" s="1">
        <f t="shared" si="30"/>
        <v>11454.75372279496</v>
      </c>
      <c r="L178" s="1">
        <f t="shared" si="31"/>
        <v>3436.4261168384878</v>
      </c>
      <c r="M178">
        <f t="shared" si="24"/>
        <v>10000000</v>
      </c>
      <c r="N178" s="7"/>
    </row>
    <row r="179" spans="1:14" x14ac:dyDescent="0.25">
      <c r="A179">
        <f t="shared" si="32"/>
        <v>178</v>
      </c>
      <c r="B179" s="1">
        <v>200000000000</v>
      </c>
      <c r="C179" s="1">
        <v>20000000000</v>
      </c>
      <c r="D179">
        <f t="shared" si="23"/>
        <v>5.88</v>
      </c>
      <c r="E179" s="1">
        <f t="shared" si="22"/>
        <v>58800</v>
      </c>
      <c r="F179" s="1">
        <f t="shared" si="25"/>
        <v>340136.0544217687</v>
      </c>
      <c r="G179" s="1">
        <f t="shared" si="26"/>
        <v>170068.02721088435</v>
      </c>
      <c r="H179" s="1">
        <f t="shared" si="27"/>
        <v>68027.210884353743</v>
      </c>
      <c r="I179" s="1">
        <f t="shared" si="28"/>
        <v>34013.605442176871</v>
      </c>
      <c r="J179" s="1">
        <f t="shared" si="29"/>
        <v>22675.736961451246</v>
      </c>
      <c r="K179" s="1">
        <f t="shared" si="30"/>
        <v>11337.868480725623</v>
      </c>
      <c r="L179" s="1">
        <f t="shared" si="31"/>
        <v>3401.3605442176872</v>
      </c>
      <c r="M179">
        <f t="shared" si="24"/>
        <v>10000000</v>
      </c>
      <c r="N179" s="7"/>
    </row>
    <row r="180" spans="1:14" x14ac:dyDescent="0.25">
      <c r="A180">
        <f t="shared" si="32"/>
        <v>179</v>
      </c>
      <c r="B180" s="1">
        <v>220000000000</v>
      </c>
      <c r="C180" s="1">
        <v>20000000000</v>
      </c>
      <c r="D180">
        <f t="shared" si="23"/>
        <v>5.94</v>
      </c>
      <c r="E180" s="1">
        <f t="shared" si="22"/>
        <v>59400.000000000007</v>
      </c>
      <c r="F180" s="1">
        <f t="shared" si="25"/>
        <v>336700.33670033666</v>
      </c>
      <c r="G180" s="1">
        <f t="shared" si="26"/>
        <v>168350.16835016833</v>
      </c>
      <c r="H180" s="1">
        <f t="shared" si="27"/>
        <v>67340.067340067326</v>
      </c>
      <c r="I180" s="1">
        <f t="shared" si="28"/>
        <v>33670.033670033663</v>
      </c>
      <c r="J180" s="1">
        <f t="shared" si="29"/>
        <v>22446.689113355776</v>
      </c>
      <c r="K180" s="1">
        <f t="shared" si="30"/>
        <v>11223.344556677888</v>
      </c>
      <c r="L180" s="1">
        <f t="shared" si="31"/>
        <v>3367.0033670033663</v>
      </c>
      <c r="M180">
        <f t="shared" si="24"/>
        <v>10000000</v>
      </c>
      <c r="N180" s="7"/>
    </row>
    <row r="181" spans="1:14" x14ac:dyDescent="0.25">
      <c r="A181">
        <f t="shared" si="32"/>
        <v>180</v>
      </c>
      <c r="B181" s="1">
        <v>240000000000</v>
      </c>
      <c r="C181" s="1">
        <v>20000000000</v>
      </c>
      <c r="D181">
        <f t="shared" si="23"/>
        <v>6</v>
      </c>
      <c r="E181" s="1">
        <f t="shared" si="22"/>
        <v>60000</v>
      </c>
      <c r="F181" s="1">
        <f t="shared" si="25"/>
        <v>333333.33333333331</v>
      </c>
      <c r="G181" s="1">
        <f t="shared" si="26"/>
        <v>166666.66666666666</v>
      </c>
      <c r="H181" s="1">
        <f t="shared" si="27"/>
        <v>66666.666666666672</v>
      </c>
      <c r="I181" s="1">
        <f t="shared" si="28"/>
        <v>33333.333333333336</v>
      </c>
      <c r="J181" s="1">
        <f t="shared" si="29"/>
        <v>22222.222222222223</v>
      </c>
      <c r="K181" s="1">
        <f t="shared" si="30"/>
        <v>11111.111111111111</v>
      </c>
      <c r="L181" s="1">
        <f t="shared" si="31"/>
        <v>3333.3333333333335</v>
      </c>
      <c r="M181">
        <f t="shared" si="24"/>
        <v>10000000</v>
      </c>
      <c r="N181" s="7"/>
    </row>
    <row r="182" spans="1:14" x14ac:dyDescent="0.25">
      <c r="A182">
        <f t="shared" si="32"/>
        <v>181</v>
      </c>
      <c r="B182" s="1">
        <v>260000000000</v>
      </c>
      <c r="C182" s="1">
        <v>20000000000</v>
      </c>
      <c r="D182">
        <f t="shared" si="23"/>
        <v>6.06</v>
      </c>
      <c r="E182" s="1">
        <f t="shared" si="22"/>
        <v>60599.999999999993</v>
      </c>
      <c r="F182" s="1">
        <f t="shared" si="25"/>
        <v>330033.00330033008</v>
      </c>
      <c r="G182" s="1">
        <f t="shared" si="26"/>
        <v>165016.50165016504</v>
      </c>
      <c r="H182" s="1">
        <f t="shared" si="27"/>
        <v>66006.600660066018</v>
      </c>
      <c r="I182" s="1">
        <f t="shared" si="28"/>
        <v>33003.300330033009</v>
      </c>
      <c r="J182" s="1">
        <f t="shared" si="29"/>
        <v>22002.200220022005</v>
      </c>
      <c r="K182" s="1">
        <f t="shared" si="30"/>
        <v>11001.100110011002</v>
      </c>
      <c r="L182" s="1">
        <f t="shared" si="31"/>
        <v>3300.3300330033007</v>
      </c>
      <c r="M182">
        <f t="shared" si="24"/>
        <v>10000000</v>
      </c>
      <c r="N182" s="7"/>
    </row>
    <row r="183" spans="1:14" x14ac:dyDescent="0.25">
      <c r="A183">
        <f t="shared" si="32"/>
        <v>182</v>
      </c>
      <c r="B183" s="1">
        <v>280000000000</v>
      </c>
      <c r="C183" s="1">
        <v>20000000000</v>
      </c>
      <c r="D183">
        <f t="shared" si="23"/>
        <v>6.12</v>
      </c>
      <c r="E183" s="1">
        <f t="shared" si="22"/>
        <v>61200</v>
      </c>
      <c r="F183" s="1">
        <f t="shared" si="25"/>
        <v>326797.38562091504</v>
      </c>
      <c r="G183" s="1">
        <f t="shared" si="26"/>
        <v>163398.69281045752</v>
      </c>
      <c r="H183" s="1">
        <f t="shared" si="27"/>
        <v>65359.477124183009</v>
      </c>
      <c r="I183" s="1">
        <f t="shared" si="28"/>
        <v>32679.738562091505</v>
      </c>
      <c r="J183" s="1">
        <f t="shared" si="29"/>
        <v>21786.49237472767</v>
      </c>
      <c r="K183" s="1">
        <f t="shared" si="30"/>
        <v>10893.246187363835</v>
      </c>
      <c r="L183" s="1">
        <f t="shared" si="31"/>
        <v>3267.9738562091502</v>
      </c>
      <c r="M183">
        <f t="shared" si="24"/>
        <v>10000000</v>
      </c>
      <c r="N183" s="7"/>
    </row>
    <row r="184" spans="1:14" x14ac:dyDescent="0.25">
      <c r="A184">
        <f t="shared" si="32"/>
        <v>183</v>
      </c>
      <c r="B184" s="1">
        <v>300000000000</v>
      </c>
      <c r="C184" s="1">
        <v>20000000000</v>
      </c>
      <c r="D184">
        <f t="shared" si="23"/>
        <v>6.18</v>
      </c>
      <c r="E184" s="1">
        <f t="shared" si="22"/>
        <v>61800</v>
      </c>
      <c r="F184" s="1">
        <f t="shared" si="25"/>
        <v>323624.59546925564</v>
      </c>
      <c r="G184" s="1">
        <f t="shared" si="26"/>
        <v>161812.29773462782</v>
      </c>
      <c r="H184" s="1">
        <f t="shared" si="27"/>
        <v>64724.919093851131</v>
      </c>
      <c r="I184" s="1">
        <f t="shared" si="28"/>
        <v>32362.459546925566</v>
      </c>
      <c r="J184" s="1">
        <f t="shared" si="29"/>
        <v>21574.973031283709</v>
      </c>
      <c r="K184" s="1">
        <f t="shared" si="30"/>
        <v>10787.486515641855</v>
      </c>
      <c r="L184" s="1">
        <f t="shared" si="31"/>
        <v>3236.2459546925566</v>
      </c>
      <c r="M184">
        <f t="shared" si="24"/>
        <v>10000000</v>
      </c>
      <c r="N184" s="7"/>
    </row>
    <row r="185" spans="1:14" x14ac:dyDescent="0.25">
      <c r="A185">
        <f t="shared" si="32"/>
        <v>184</v>
      </c>
      <c r="B185" s="1">
        <v>320000000000</v>
      </c>
      <c r="C185" s="1">
        <v>20000000000</v>
      </c>
      <c r="D185">
        <f t="shared" si="23"/>
        <v>6.24</v>
      </c>
      <c r="E185" s="1">
        <f t="shared" si="22"/>
        <v>62400</v>
      </c>
      <c r="F185" s="1">
        <f t="shared" si="25"/>
        <v>320512.8205128205</v>
      </c>
      <c r="G185" s="1">
        <f t="shared" si="26"/>
        <v>160256.41025641025</v>
      </c>
      <c r="H185" s="1">
        <f t="shared" si="27"/>
        <v>64102.564102564102</v>
      </c>
      <c r="I185" s="1">
        <f t="shared" si="28"/>
        <v>32051.282051282051</v>
      </c>
      <c r="J185" s="1">
        <f t="shared" si="29"/>
        <v>21367.521367521367</v>
      </c>
      <c r="K185" s="1">
        <f t="shared" si="30"/>
        <v>10683.760683760684</v>
      </c>
      <c r="L185" s="1">
        <f t="shared" si="31"/>
        <v>3205.1282051282051</v>
      </c>
      <c r="M185">
        <f t="shared" si="24"/>
        <v>10000000</v>
      </c>
      <c r="N185" s="7"/>
    </row>
    <row r="186" spans="1:14" x14ac:dyDescent="0.25">
      <c r="A186">
        <f t="shared" si="32"/>
        <v>185</v>
      </c>
      <c r="B186" s="1">
        <v>340000000000</v>
      </c>
      <c r="C186" s="1">
        <v>20000000000</v>
      </c>
      <c r="D186">
        <f t="shared" si="23"/>
        <v>6.3</v>
      </c>
      <c r="E186" s="1">
        <f t="shared" si="22"/>
        <v>63000</v>
      </c>
      <c r="F186" s="1">
        <f t="shared" si="25"/>
        <v>317460.31746031746</v>
      </c>
      <c r="G186" s="1">
        <f t="shared" si="26"/>
        <v>158730.15873015873</v>
      </c>
      <c r="H186" s="1">
        <f t="shared" si="27"/>
        <v>63492.063492063491</v>
      </c>
      <c r="I186" s="1">
        <f t="shared" si="28"/>
        <v>31746.031746031746</v>
      </c>
      <c r="J186" s="1">
        <f t="shared" si="29"/>
        <v>21164.021164021164</v>
      </c>
      <c r="K186" s="1">
        <f t="shared" si="30"/>
        <v>10582.010582010582</v>
      </c>
      <c r="L186" s="1">
        <f t="shared" si="31"/>
        <v>3174.6031746031745</v>
      </c>
      <c r="M186">
        <f t="shared" si="24"/>
        <v>10000000</v>
      </c>
      <c r="N186" s="7"/>
    </row>
    <row r="187" spans="1:14" x14ac:dyDescent="0.25">
      <c r="A187">
        <f t="shared" si="32"/>
        <v>186</v>
      </c>
      <c r="B187" s="1">
        <v>360000000000</v>
      </c>
      <c r="C187" s="1">
        <v>20000000000</v>
      </c>
      <c r="D187">
        <f t="shared" si="23"/>
        <v>6.36</v>
      </c>
      <c r="E187" s="1">
        <f t="shared" si="22"/>
        <v>63600</v>
      </c>
      <c r="F187" s="1">
        <f t="shared" si="25"/>
        <v>314465.40880503145</v>
      </c>
      <c r="G187" s="1">
        <f t="shared" si="26"/>
        <v>157232.70440251572</v>
      </c>
      <c r="H187" s="1">
        <f t="shared" si="27"/>
        <v>62893.081761006288</v>
      </c>
      <c r="I187" s="1">
        <f t="shared" si="28"/>
        <v>31446.540880503144</v>
      </c>
      <c r="J187" s="1">
        <f t="shared" si="29"/>
        <v>20964.360587002095</v>
      </c>
      <c r="K187" s="1">
        <f t="shared" si="30"/>
        <v>10482.180293501047</v>
      </c>
      <c r="L187" s="1">
        <f t="shared" si="31"/>
        <v>3144.6540880503144</v>
      </c>
      <c r="M187">
        <f t="shared" si="24"/>
        <v>10000000</v>
      </c>
      <c r="N187" s="7"/>
    </row>
    <row r="188" spans="1:14" x14ac:dyDescent="0.25">
      <c r="A188">
        <f t="shared" si="32"/>
        <v>187</v>
      </c>
      <c r="B188" s="1">
        <v>380000000000</v>
      </c>
      <c r="C188" s="1">
        <v>20000000000</v>
      </c>
      <c r="D188">
        <f t="shared" si="23"/>
        <v>6.43</v>
      </c>
      <c r="E188" s="1">
        <f t="shared" si="22"/>
        <v>64300</v>
      </c>
      <c r="F188" s="1">
        <f t="shared" si="25"/>
        <v>311041.9906687403</v>
      </c>
      <c r="G188" s="1">
        <f t="shared" si="26"/>
        <v>155520.99533437015</v>
      </c>
      <c r="H188" s="1">
        <f t="shared" si="27"/>
        <v>62208.398133748058</v>
      </c>
      <c r="I188" s="1">
        <f t="shared" si="28"/>
        <v>31104.199066874029</v>
      </c>
      <c r="J188" s="1">
        <f t="shared" si="29"/>
        <v>20736.132711249353</v>
      </c>
      <c r="K188" s="1">
        <f t="shared" si="30"/>
        <v>10368.066355624676</v>
      </c>
      <c r="L188" s="1">
        <f t="shared" si="31"/>
        <v>3110.419906687403</v>
      </c>
      <c r="M188">
        <f t="shared" si="24"/>
        <v>10000000</v>
      </c>
      <c r="N188" s="7"/>
    </row>
    <row r="189" spans="1:14" x14ac:dyDescent="0.25">
      <c r="A189">
        <f t="shared" si="32"/>
        <v>188</v>
      </c>
      <c r="B189" s="1">
        <v>400000000000</v>
      </c>
      <c r="C189" s="1">
        <v>20000000000</v>
      </c>
      <c r="D189">
        <f t="shared" si="23"/>
        <v>6.49</v>
      </c>
      <c r="E189" s="1">
        <f t="shared" si="22"/>
        <v>64900</v>
      </c>
      <c r="F189" s="1">
        <f t="shared" si="25"/>
        <v>462249.6147919877</v>
      </c>
      <c r="G189" s="1">
        <f t="shared" si="26"/>
        <v>231124.80739599385</v>
      </c>
      <c r="H189" s="1">
        <f t="shared" si="27"/>
        <v>92449.922958397539</v>
      </c>
      <c r="I189" s="1">
        <f t="shared" si="28"/>
        <v>46224.96147919877</v>
      </c>
      <c r="J189" s="1">
        <f t="shared" si="29"/>
        <v>30816.640986132512</v>
      </c>
      <c r="K189" s="1">
        <f t="shared" si="30"/>
        <v>15408.320493066256</v>
      </c>
      <c r="L189" s="1">
        <f t="shared" si="31"/>
        <v>4622.4961479198764</v>
      </c>
      <c r="M189">
        <f t="shared" si="24"/>
        <v>15000000</v>
      </c>
      <c r="N189" s="7"/>
    </row>
    <row r="190" spans="1:14" x14ac:dyDescent="0.25">
      <c r="A190">
        <f t="shared" si="32"/>
        <v>189</v>
      </c>
      <c r="B190" s="1">
        <v>430000000000</v>
      </c>
      <c r="C190" s="1">
        <v>30000000000</v>
      </c>
      <c r="D190">
        <f t="shared" si="23"/>
        <v>6.56</v>
      </c>
      <c r="E190" s="1">
        <f t="shared" si="22"/>
        <v>65600</v>
      </c>
      <c r="F190" s="1">
        <f t="shared" si="25"/>
        <v>457317.07317073172</v>
      </c>
      <c r="G190" s="1">
        <f t="shared" si="26"/>
        <v>228658.53658536586</v>
      </c>
      <c r="H190" s="1">
        <f t="shared" si="27"/>
        <v>91463.414634146335</v>
      </c>
      <c r="I190" s="1">
        <f t="shared" si="28"/>
        <v>45731.707317073167</v>
      </c>
      <c r="J190" s="1">
        <f t="shared" si="29"/>
        <v>30487.804878048781</v>
      </c>
      <c r="K190" s="1">
        <f t="shared" si="30"/>
        <v>15243.90243902439</v>
      </c>
      <c r="L190" s="1">
        <f t="shared" si="31"/>
        <v>4573.1707317073169</v>
      </c>
      <c r="M190">
        <f t="shared" si="24"/>
        <v>15000000</v>
      </c>
      <c r="N190" s="7"/>
    </row>
    <row r="191" spans="1:14" x14ac:dyDescent="0.25">
      <c r="A191">
        <f t="shared" si="32"/>
        <v>190</v>
      </c>
      <c r="B191" s="1">
        <v>460000000000</v>
      </c>
      <c r="C191" s="1">
        <v>30000000000</v>
      </c>
      <c r="D191">
        <f t="shared" si="23"/>
        <v>6.62</v>
      </c>
      <c r="E191" s="1">
        <f t="shared" si="22"/>
        <v>66200</v>
      </c>
      <c r="F191" s="1">
        <f t="shared" si="25"/>
        <v>453172.20543806645</v>
      </c>
      <c r="G191" s="1">
        <f t="shared" si="26"/>
        <v>226586.10271903322</v>
      </c>
      <c r="H191" s="1">
        <f t="shared" si="27"/>
        <v>90634.44108761329</v>
      </c>
      <c r="I191" s="1">
        <f t="shared" si="28"/>
        <v>45317.220543806645</v>
      </c>
      <c r="J191" s="1">
        <f t="shared" si="29"/>
        <v>30211.480362537764</v>
      </c>
      <c r="K191" s="1">
        <f t="shared" si="30"/>
        <v>15105.740181268882</v>
      </c>
      <c r="L191" s="1">
        <f t="shared" si="31"/>
        <v>4531.7220543806643</v>
      </c>
      <c r="M191">
        <f t="shared" si="24"/>
        <v>15000000</v>
      </c>
      <c r="N191" s="7"/>
    </row>
    <row r="192" spans="1:14" x14ac:dyDescent="0.25">
      <c r="A192">
        <f t="shared" si="32"/>
        <v>191</v>
      </c>
      <c r="B192" s="1">
        <v>490000000000</v>
      </c>
      <c r="C192" s="1">
        <v>30000000000</v>
      </c>
      <c r="D192">
        <f t="shared" si="23"/>
        <v>6.69</v>
      </c>
      <c r="E192" s="1">
        <f t="shared" si="22"/>
        <v>66900</v>
      </c>
      <c r="F192" s="1">
        <f t="shared" si="25"/>
        <v>448430.49327354261</v>
      </c>
      <c r="G192" s="1">
        <f t="shared" si="26"/>
        <v>224215.24663677131</v>
      </c>
      <c r="H192" s="1">
        <f t="shared" si="27"/>
        <v>89686.098654708519</v>
      </c>
      <c r="I192" s="1">
        <f t="shared" si="28"/>
        <v>44843.04932735426</v>
      </c>
      <c r="J192" s="1">
        <f t="shared" si="29"/>
        <v>29895.366218236173</v>
      </c>
      <c r="K192" s="1">
        <f t="shared" si="30"/>
        <v>14947.683109118087</v>
      </c>
      <c r="L192" s="1">
        <f t="shared" si="31"/>
        <v>4484.3049327354256</v>
      </c>
      <c r="M192">
        <f t="shared" si="24"/>
        <v>15000000</v>
      </c>
      <c r="N192" s="7"/>
    </row>
    <row r="193" spans="1:14" x14ac:dyDescent="0.25">
      <c r="A193">
        <f t="shared" si="32"/>
        <v>192</v>
      </c>
      <c r="B193" s="1">
        <v>520000000000</v>
      </c>
      <c r="C193" s="1">
        <v>30000000000</v>
      </c>
      <c r="D193">
        <f t="shared" si="23"/>
        <v>6.76</v>
      </c>
      <c r="E193" s="1">
        <f t="shared" si="22"/>
        <v>67600</v>
      </c>
      <c r="F193" s="1">
        <f t="shared" si="25"/>
        <v>591715.97633136099</v>
      </c>
      <c r="G193" s="1">
        <f t="shared" si="26"/>
        <v>295857.98816568049</v>
      </c>
      <c r="H193" s="1">
        <f t="shared" si="27"/>
        <v>118343.19526627219</v>
      </c>
      <c r="I193" s="1">
        <f t="shared" si="28"/>
        <v>59171.597633136094</v>
      </c>
      <c r="J193" s="1">
        <f t="shared" si="29"/>
        <v>39447.731755424065</v>
      </c>
      <c r="K193" s="1">
        <f t="shared" si="30"/>
        <v>19723.865877712033</v>
      </c>
      <c r="L193" s="1">
        <f t="shared" si="31"/>
        <v>5917.1597633136098</v>
      </c>
      <c r="M193">
        <f t="shared" si="24"/>
        <v>20000000</v>
      </c>
      <c r="N193" s="7"/>
    </row>
    <row r="194" spans="1:14" x14ac:dyDescent="0.25">
      <c r="A194">
        <f t="shared" si="32"/>
        <v>193</v>
      </c>
      <c r="B194" s="1">
        <v>560000000000</v>
      </c>
      <c r="C194" s="1">
        <v>40000000000</v>
      </c>
      <c r="D194">
        <f t="shared" si="23"/>
        <v>6.82</v>
      </c>
      <c r="E194" s="1">
        <f t="shared" ref="E194:E257" si="33">+D194*10000</f>
        <v>68200</v>
      </c>
      <c r="F194" s="1">
        <f t="shared" si="25"/>
        <v>586510.26392961876</v>
      </c>
      <c r="G194" s="1">
        <f t="shared" si="26"/>
        <v>293255.13196480938</v>
      </c>
      <c r="H194" s="1">
        <f t="shared" si="27"/>
        <v>117302.05278592375</v>
      </c>
      <c r="I194" s="1">
        <f t="shared" si="28"/>
        <v>58651.026392961874</v>
      </c>
      <c r="J194" s="1">
        <f t="shared" si="29"/>
        <v>39100.684261974588</v>
      </c>
      <c r="K194" s="1">
        <f t="shared" si="30"/>
        <v>19550.342130987294</v>
      </c>
      <c r="L194" s="1">
        <f t="shared" si="31"/>
        <v>5865.1026392961876</v>
      </c>
      <c r="M194">
        <f t="shared" si="24"/>
        <v>20000000</v>
      </c>
      <c r="N194" s="7"/>
    </row>
    <row r="195" spans="1:14" x14ac:dyDescent="0.25">
      <c r="A195">
        <f t="shared" si="32"/>
        <v>194</v>
      </c>
      <c r="B195" s="1">
        <v>600000000000</v>
      </c>
      <c r="C195" s="1">
        <v>40000000000</v>
      </c>
      <c r="D195">
        <f t="shared" ref="D195:D258" si="34">ROUND(1.01^A195,2)</f>
        <v>6.89</v>
      </c>
      <c r="E195" s="1">
        <f t="shared" si="33"/>
        <v>68900</v>
      </c>
      <c r="F195" s="1">
        <f t="shared" si="25"/>
        <v>725689.40493468801</v>
      </c>
      <c r="G195" s="1">
        <f t="shared" si="26"/>
        <v>362844.702467344</v>
      </c>
      <c r="H195" s="1">
        <f t="shared" si="27"/>
        <v>145137.88098693758</v>
      </c>
      <c r="I195" s="1">
        <f t="shared" si="28"/>
        <v>72568.940493468792</v>
      </c>
      <c r="J195" s="1">
        <f t="shared" si="29"/>
        <v>48379.293662312528</v>
      </c>
      <c r="K195" s="1">
        <f t="shared" si="30"/>
        <v>24189.646831156264</v>
      </c>
      <c r="L195" s="1">
        <f t="shared" si="31"/>
        <v>7256.8940493468799</v>
      </c>
      <c r="M195">
        <f t="shared" ref="M195:M258" si="35">ROUND(MAX(E196*6.3*10%,C196*0.05%),-MAX(2,INT(LOG10(MAX(E196*6.3*10%,C196*0.05%)))-2))</f>
        <v>25000000</v>
      </c>
      <c r="N195" s="7"/>
    </row>
    <row r="196" spans="1:14" x14ac:dyDescent="0.25">
      <c r="A196">
        <f t="shared" si="32"/>
        <v>195</v>
      </c>
      <c r="B196" s="1">
        <v>650000000000</v>
      </c>
      <c r="C196" s="1">
        <v>50000000000</v>
      </c>
      <c r="D196">
        <f t="shared" si="34"/>
        <v>6.96</v>
      </c>
      <c r="E196" s="1">
        <f t="shared" si="33"/>
        <v>69600</v>
      </c>
      <c r="F196" s="1">
        <f t="shared" ref="F196:F259" si="36">$C197/($E196*1)</f>
        <v>718390.80459770118</v>
      </c>
      <c r="G196" s="1">
        <f t="shared" ref="G196:G259" si="37">$C197/($E196*2)</f>
        <v>359195.40229885059</v>
      </c>
      <c r="H196" s="1">
        <f t="shared" ref="H196:H259" si="38">$C197/($E196*5)</f>
        <v>143678.16091954024</v>
      </c>
      <c r="I196" s="1">
        <f t="shared" ref="I196:I259" si="39">$C197/($E196*10)</f>
        <v>71839.080459770121</v>
      </c>
      <c r="J196" s="1">
        <f t="shared" ref="J196:J259" si="40">$C197/($E196*15)</f>
        <v>47892.720306513409</v>
      </c>
      <c r="K196" s="1">
        <f t="shared" ref="K196:K259" si="41">$C197/($E196*30)</f>
        <v>23946.360153256705</v>
      </c>
      <c r="L196" s="1">
        <f t="shared" ref="L196:L259" si="42">$C197/($E196*100)</f>
        <v>7183.9080459770112</v>
      </c>
      <c r="M196">
        <f t="shared" si="35"/>
        <v>25000000</v>
      </c>
      <c r="N196" s="7"/>
    </row>
    <row r="197" spans="1:14" x14ac:dyDescent="0.25">
      <c r="A197">
        <f t="shared" ref="A197:A260" si="43">+A196+1</f>
        <v>196</v>
      </c>
      <c r="B197" s="1">
        <v>700000000000</v>
      </c>
      <c r="C197" s="1">
        <v>50000000000</v>
      </c>
      <c r="D197">
        <f t="shared" si="34"/>
        <v>7.03</v>
      </c>
      <c r="E197" s="1">
        <f t="shared" si="33"/>
        <v>70300</v>
      </c>
      <c r="F197" s="1">
        <f t="shared" si="36"/>
        <v>995732.57467994315</v>
      </c>
      <c r="G197" s="1">
        <f t="shared" si="37"/>
        <v>497866.28733997158</v>
      </c>
      <c r="H197" s="1">
        <f t="shared" si="38"/>
        <v>199146.51493598861</v>
      </c>
      <c r="I197" s="1">
        <f t="shared" si="39"/>
        <v>99573.257467994306</v>
      </c>
      <c r="J197" s="1">
        <f t="shared" si="40"/>
        <v>66382.171645329538</v>
      </c>
      <c r="K197" s="1">
        <f t="shared" si="41"/>
        <v>33191.085822664769</v>
      </c>
      <c r="L197" s="1">
        <f t="shared" si="42"/>
        <v>9957.3257467994317</v>
      </c>
      <c r="M197">
        <f t="shared" si="35"/>
        <v>35000000</v>
      </c>
      <c r="N197" s="7"/>
    </row>
    <row r="198" spans="1:14" x14ac:dyDescent="0.25">
      <c r="A198">
        <f t="shared" si="43"/>
        <v>197</v>
      </c>
      <c r="B198" s="1">
        <v>770000000000</v>
      </c>
      <c r="C198" s="1">
        <v>70000000000</v>
      </c>
      <c r="D198">
        <f t="shared" si="34"/>
        <v>7.1</v>
      </c>
      <c r="E198" s="1">
        <f t="shared" si="33"/>
        <v>71000</v>
      </c>
      <c r="F198" s="1">
        <f t="shared" si="36"/>
        <v>985915.49295774649</v>
      </c>
      <c r="G198" s="1">
        <f t="shared" si="37"/>
        <v>492957.74647887325</v>
      </c>
      <c r="H198" s="1">
        <f t="shared" si="38"/>
        <v>197183.09859154929</v>
      </c>
      <c r="I198" s="1">
        <f t="shared" si="39"/>
        <v>98591.549295774646</v>
      </c>
      <c r="J198" s="1">
        <f t="shared" si="40"/>
        <v>65727.699530516431</v>
      </c>
      <c r="K198" s="1">
        <f t="shared" si="41"/>
        <v>32863.849765258215</v>
      </c>
      <c r="L198" s="1">
        <f t="shared" si="42"/>
        <v>9859.1549295774639</v>
      </c>
      <c r="M198">
        <f t="shared" si="35"/>
        <v>35000000</v>
      </c>
      <c r="N198" s="7"/>
    </row>
    <row r="199" spans="1:14" x14ac:dyDescent="0.25">
      <c r="A199">
        <f t="shared" si="43"/>
        <v>198</v>
      </c>
      <c r="B199" s="1">
        <v>840000000000</v>
      </c>
      <c r="C199" s="1">
        <v>70000000000</v>
      </c>
      <c r="D199">
        <f t="shared" si="34"/>
        <v>7.17</v>
      </c>
      <c r="E199" s="1">
        <f t="shared" si="33"/>
        <v>71700</v>
      </c>
      <c r="F199" s="1">
        <f t="shared" si="36"/>
        <v>1115760.1115760112</v>
      </c>
      <c r="G199" s="1">
        <f t="shared" si="37"/>
        <v>557880.05578800559</v>
      </c>
      <c r="H199" s="1">
        <f t="shared" si="38"/>
        <v>223152.02231520222</v>
      </c>
      <c r="I199" s="1">
        <f t="shared" si="39"/>
        <v>111576.01115760111</v>
      </c>
      <c r="J199" s="1">
        <f t="shared" si="40"/>
        <v>74384.007438400746</v>
      </c>
      <c r="K199" s="1">
        <f t="shared" si="41"/>
        <v>37192.003719200373</v>
      </c>
      <c r="L199" s="1">
        <f t="shared" si="42"/>
        <v>11157.601115760111</v>
      </c>
      <c r="M199">
        <f t="shared" si="35"/>
        <v>40000000</v>
      </c>
      <c r="N199" s="7"/>
    </row>
    <row r="200" spans="1:14" x14ac:dyDescent="0.25">
      <c r="A200">
        <f t="shared" si="43"/>
        <v>199</v>
      </c>
      <c r="B200" s="1">
        <v>920000000000</v>
      </c>
      <c r="C200" s="1">
        <v>80000000000</v>
      </c>
      <c r="D200">
        <f t="shared" si="34"/>
        <v>7.24</v>
      </c>
      <c r="E200" s="1">
        <f t="shared" si="33"/>
        <v>72400</v>
      </c>
      <c r="F200" s="1">
        <f t="shared" si="36"/>
        <v>1104972.3756906078</v>
      </c>
      <c r="G200" s="1">
        <f t="shared" si="37"/>
        <v>552486.18784530391</v>
      </c>
      <c r="H200" s="1">
        <f t="shared" si="38"/>
        <v>220994.47513812155</v>
      </c>
      <c r="I200" s="1">
        <f t="shared" si="39"/>
        <v>110497.23756906077</v>
      </c>
      <c r="J200" s="1">
        <f t="shared" si="40"/>
        <v>73664.825046040511</v>
      </c>
      <c r="K200" s="1">
        <f t="shared" si="41"/>
        <v>36832.412523020255</v>
      </c>
      <c r="L200" s="1">
        <f t="shared" si="42"/>
        <v>11049.723756906078</v>
      </c>
      <c r="M200">
        <f t="shared" si="35"/>
        <v>40000000</v>
      </c>
      <c r="N200" s="7"/>
    </row>
    <row r="201" spans="1:14" x14ac:dyDescent="0.25">
      <c r="A201">
        <f t="shared" si="43"/>
        <v>200</v>
      </c>
      <c r="B201" s="1">
        <v>1000000000000</v>
      </c>
      <c r="C201" s="1">
        <v>80000000000</v>
      </c>
      <c r="D201">
        <f t="shared" si="34"/>
        <v>7.32</v>
      </c>
      <c r="E201" s="1">
        <f t="shared" si="33"/>
        <v>73200</v>
      </c>
      <c r="F201" s="1">
        <f t="shared" si="36"/>
        <v>1092896.1748633881</v>
      </c>
      <c r="G201" s="1">
        <f t="shared" si="37"/>
        <v>546448.08743169403</v>
      </c>
      <c r="H201" s="1">
        <f t="shared" si="38"/>
        <v>218579.2349726776</v>
      </c>
      <c r="I201" s="1">
        <f t="shared" si="39"/>
        <v>109289.6174863388</v>
      </c>
      <c r="J201" s="1">
        <f t="shared" si="40"/>
        <v>72859.744990892534</v>
      </c>
      <c r="K201" s="1">
        <f t="shared" si="41"/>
        <v>36429.872495446267</v>
      </c>
      <c r="L201" s="1">
        <f t="shared" si="42"/>
        <v>10928.961748633879</v>
      </c>
      <c r="M201">
        <f t="shared" si="35"/>
        <v>40000000</v>
      </c>
      <c r="N201" s="7"/>
    </row>
    <row r="202" spans="1:14" x14ac:dyDescent="0.25">
      <c r="A202">
        <f t="shared" si="43"/>
        <v>201</v>
      </c>
      <c r="B202" s="1">
        <v>1080000000000</v>
      </c>
      <c r="C202" s="1">
        <v>80000000000</v>
      </c>
      <c r="D202">
        <f t="shared" si="34"/>
        <v>7.39</v>
      </c>
      <c r="E202" s="1">
        <f t="shared" si="33"/>
        <v>73900</v>
      </c>
      <c r="F202" s="1">
        <f t="shared" si="36"/>
        <v>1376184.0324763195</v>
      </c>
      <c r="G202" s="1">
        <f t="shared" si="37"/>
        <v>688092.01623815973</v>
      </c>
      <c r="H202" s="1">
        <f t="shared" si="38"/>
        <v>275236.80649526388</v>
      </c>
      <c r="I202" s="1">
        <f t="shared" si="39"/>
        <v>137618.40324763194</v>
      </c>
      <c r="J202" s="1">
        <f t="shared" si="40"/>
        <v>91745.602165087956</v>
      </c>
      <c r="K202" s="1">
        <f t="shared" si="41"/>
        <v>45872.801082543978</v>
      </c>
      <c r="L202" s="1">
        <f t="shared" si="42"/>
        <v>13761.840324763194</v>
      </c>
      <c r="M202">
        <f t="shared" si="35"/>
        <v>50900000</v>
      </c>
      <c r="N202" s="7"/>
    </row>
    <row r="203" spans="1:14" x14ac:dyDescent="0.25">
      <c r="A203">
        <f t="shared" si="43"/>
        <v>202</v>
      </c>
      <c r="B203" s="1">
        <v>1181700000000</v>
      </c>
      <c r="C203" s="1">
        <v>101700000000</v>
      </c>
      <c r="D203">
        <f t="shared" si="34"/>
        <v>7.46</v>
      </c>
      <c r="E203" s="1">
        <f t="shared" si="33"/>
        <v>74600</v>
      </c>
      <c r="F203" s="1">
        <f t="shared" si="36"/>
        <v>1654155.4959785524</v>
      </c>
      <c r="G203" s="1">
        <f t="shared" si="37"/>
        <v>827077.74798927619</v>
      </c>
      <c r="H203" s="1">
        <f t="shared" si="38"/>
        <v>330831.09919571044</v>
      </c>
      <c r="I203" s="1">
        <f t="shared" si="39"/>
        <v>165415.54959785522</v>
      </c>
      <c r="J203" s="1">
        <f t="shared" si="40"/>
        <v>110277.03306523681</v>
      </c>
      <c r="K203" s="1">
        <f t="shared" si="41"/>
        <v>55138.516532618407</v>
      </c>
      <c r="L203" s="1">
        <f t="shared" si="42"/>
        <v>16541.554959785524</v>
      </c>
      <c r="M203">
        <f t="shared" si="35"/>
        <v>61700000</v>
      </c>
      <c r="N203" s="7"/>
    </row>
    <row r="204" spans="1:14" x14ac:dyDescent="0.25">
      <c r="A204">
        <f t="shared" si="43"/>
        <v>203</v>
      </c>
      <c r="B204" s="1">
        <v>1305100000000</v>
      </c>
      <c r="C204" s="1">
        <v>123400000000</v>
      </c>
      <c r="D204">
        <f t="shared" si="34"/>
        <v>7.54</v>
      </c>
      <c r="E204" s="1">
        <f t="shared" si="33"/>
        <v>75400</v>
      </c>
      <c r="F204" s="1">
        <f t="shared" si="36"/>
        <v>1924403.1830238728</v>
      </c>
      <c r="G204" s="1">
        <f t="shared" si="37"/>
        <v>962201.59151193639</v>
      </c>
      <c r="H204" s="1">
        <f t="shared" si="38"/>
        <v>384880.63660477451</v>
      </c>
      <c r="I204" s="1">
        <f t="shared" si="39"/>
        <v>192440.31830238726</v>
      </c>
      <c r="J204" s="1">
        <f t="shared" si="40"/>
        <v>128293.54553492485</v>
      </c>
      <c r="K204" s="1">
        <f t="shared" si="41"/>
        <v>64146.772767462426</v>
      </c>
      <c r="L204" s="1">
        <f t="shared" si="42"/>
        <v>19244.031830238728</v>
      </c>
      <c r="M204">
        <f t="shared" si="35"/>
        <v>72600000</v>
      </c>
      <c r="N204" s="7"/>
    </row>
    <row r="205" spans="1:14" x14ac:dyDescent="0.25">
      <c r="A205">
        <f t="shared" si="43"/>
        <v>204</v>
      </c>
      <c r="B205" s="1">
        <v>1450200000000</v>
      </c>
      <c r="C205" s="1">
        <v>145100000000</v>
      </c>
      <c r="D205">
        <f t="shared" si="34"/>
        <v>7.61</v>
      </c>
      <c r="E205" s="1">
        <f t="shared" si="33"/>
        <v>76100</v>
      </c>
      <c r="F205" s="1">
        <f t="shared" si="36"/>
        <v>2191852.8252299605</v>
      </c>
      <c r="G205" s="1">
        <f t="shared" si="37"/>
        <v>1095926.4126149802</v>
      </c>
      <c r="H205" s="1">
        <f t="shared" si="38"/>
        <v>438370.56504599209</v>
      </c>
      <c r="I205" s="1">
        <f t="shared" si="39"/>
        <v>219185.28252299604</v>
      </c>
      <c r="J205" s="1">
        <f t="shared" si="40"/>
        <v>146123.52168199737</v>
      </c>
      <c r="K205" s="1">
        <f t="shared" si="41"/>
        <v>73061.760840998686</v>
      </c>
      <c r="L205" s="1">
        <f t="shared" si="42"/>
        <v>21918.528252299606</v>
      </c>
      <c r="M205">
        <f t="shared" si="35"/>
        <v>83400000</v>
      </c>
      <c r="N205" s="7"/>
    </row>
    <row r="206" spans="1:14" x14ac:dyDescent="0.25">
      <c r="A206">
        <f t="shared" si="43"/>
        <v>205</v>
      </c>
      <c r="B206" s="1">
        <v>1617000000000</v>
      </c>
      <c r="C206" s="1">
        <v>166800000000</v>
      </c>
      <c r="D206">
        <f t="shared" si="34"/>
        <v>7.69</v>
      </c>
      <c r="E206" s="1">
        <f t="shared" si="33"/>
        <v>76900</v>
      </c>
      <c r="F206" s="1">
        <f t="shared" si="36"/>
        <v>2451235.3706111833</v>
      </c>
      <c r="G206" s="1">
        <f t="shared" si="37"/>
        <v>1225617.6853055917</v>
      </c>
      <c r="H206" s="1">
        <f t="shared" si="38"/>
        <v>490247.07412223669</v>
      </c>
      <c r="I206" s="1">
        <f t="shared" si="39"/>
        <v>245123.53706111835</v>
      </c>
      <c r="J206" s="1">
        <f t="shared" si="40"/>
        <v>163415.69137407889</v>
      </c>
      <c r="K206" s="1">
        <f t="shared" si="41"/>
        <v>81707.845687039444</v>
      </c>
      <c r="L206" s="1">
        <f t="shared" si="42"/>
        <v>24512.353706111833</v>
      </c>
      <c r="M206">
        <f t="shared" si="35"/>
        <v>94300000</v>
      </c>
      <c r="N206" s="7"/>
    </row>
    <row r="207" spans="1:14" x14ac:dyDescent="0.25">
      <c r="A207">
        <f t="shared" si="43"/>
        <v>206</v>
      </c>
      <c r="B207" s="1">
        <v>1805500000000</v>
      </c>
      <c r="C207" s="1">
        <v>188500000000</v>
      </c>
      <c r="D207">
        <f t="shared" si="34"/>
        <v>7.77</v>
      </c>
      <c r="E207" s="1">
        <f t="shared" si="33"/>
        <v>77700</v>
      </c>
      <c r="F207" s="1">
        <f t="shared" si="36"/>
        <v>2705276.7052767053</v>
      </c>
      <c r="G207" s="1">
        <f t="shared" si="37"/>
        <v>1352638.3526383527</v>
      </c>
      <c r="H207" s="1">
        <f t="shared" si="38"/>
        <v>541055.34105534106</v>
      </c>
      <c r="I207" s="1">
        <f t="shared" si="39"/>
        <v>270527.67052767053</v>
      </c>
      <c r="J207" s="1">
        <f t="shared" si="40"/>
        <v>180351.78035178035</v>
      </c>
      <c r="K207" s="1">
        <f t="shared" si="41"/>
        <v>90175.890175890177</v>
      </c>
      <c r="L207" s="1">
        <f t="shared" si="42"/>
        <v>27052.767052767053</v>
      </c>
      <c r="M207">
        <f t="shared" si="35"/>
        <v>105000000</v>
      </c>
      <c r="N207" s="7"/>
    </row>
    <row r="208" spans="1:14" x14ac:dyDescent="0.25">
      <c r="A208">
        <f t="shared" si="43"/>
        <v>207</v>
      </c>
      <c r="B208" s="1">
        <v>2015700000000</v>
      </c>
      <c r="C208" s="1">
        <v>210200000000</v>
      </c>
      <c r="D208">
        <f t="shared" si="34"/>
        <v>7.84</v>
      </c>
      <c r="E208" s="1">
        <f t="shared" si="33"/>
        <v>78400</v>
      </c>
      <c r="F208" s="1">
        <f t="shared" si="36"/>
        <v>2957908.163265306</v>
      </c>
      <c r="G208" s="1">
        <f t="shared" si="37"/>
        <v>1478954.081632653</v>
      </c>
      <c r="H208" s="1">
        <f t="shared" si="38"/>
        <v>591581.63265306118</v>
      </c>
      <c r="I208" s="1">
        <f t="shared" si="39"/>
        <v>295790.81632653059</v>
      </c>
      <c r="J208" s="1">
        <f t="shared" si="40"/>
        <v>197193.87755102041</v>
      </c>
      <c r="K208" s="1">
        <f t="shared" si="41"/>
        <v>98596.938775510207</v>
      </c>
      <c r="L208" s="1">
        <f t="shared" si="42"/>
        <v>29579.081632653062</v>
      </c>
      <c r="M208">
        <f t="shared" si="35"/>
        <v>116000000</v>
      </c>
      <c r="N208" s="7"/>
    </row>
    <row r="209" spans="1:14" x14ac:dyDescent="0.25">
      <c r="A209">
        <f t="shared" si="43"/>
        <v>208</v>
      </c>
      <c r="B209" s="1">
        <v>2247600000000</v>
      </c>
      <c r="C209" s="1">
        <v>231900000000</v>
      </c>
      <c r="D209">
        <f t="shared" si="34"/>
        <v>7.92</v>
      </c>
      <c r="E209" s="1">
        <f t="shared" si="33"/>
        <v>79200</v>
      </c>
      <c r="F209" s="1">
        <f t="shared" si="36"/>
        <v>3202020.2020202018</v>
      </c>
      <c r="G209" s="1">
        <f t="shared" si="37"/>
        <v>1601010.1010101009</v>
      </c>
      <c r="H209" s="1">
        <f t="shared" si="38"/>
        <v>640404.04040404037</v>
      </c>
      <c r="I209" s="1">
        <f t="shared" si="39"/>
        <v>320202.02020202018</v>
      </c>
      <c r="J209" s="1">
        <f t="shared" si="40"/>
        <v>213468.01346801347</v>
      </c>
      <c r="K209" s="1">
        <f t="shared" si="41"/>
        <v>106734.00673400673</v>
      </c>
      <c r="L209" s="1">
        <f t="shared" si="42"/>
        <v>32020.202020202021</v>
      </c>
      <c r="M209">
        <f t="shared" si="35"/>
        <v>127000000</v>
      </c>
      <c r="N209" s="7"/>
    </row>
    <row r="210" spans="1:14" x14ac:dyDescent="0.25">
      <c r="A210">
        <f t="shared" si="43"/>
        <v>209</v>
      </c>
      <c r="B210" s="1">
        <v>2501200000000</v>
      </c>
      <c r="C210" s="1">
        <v>253600000000</v>
      </c>
      <c r="D210">
        <f t="shared" si="34"/>
        <v>8</v>
      </c>
      <c r="E210" s="1">
        <f t="shared" si="33"/>
        <v>80000</v>
      </c>
      <c r="F210" s="1">
        <f t="shared" si="36"/>
        <v>3441250</v>
      </c>
      <c r="G210" s="1">
        <f t="shared" si="37"/>
        <v>1720625</v>
      </c>
      <c r="H210" s="1">
        <f t="shared" si="38"/>
        <v>688250</v>
      </c>
      <c r="I210" s="1">
        <f t="shared" si="39"/>
        <v>344125</v>
      </c>
      <c r="J210" s="1">
        <f t="shared" si="40"/>
        <v>229416.66666666666</v>
      </c>
      <c r="K210" s="1">
        <f t="shared" si="41"/>
        <v>114708.33333333333</v>
      </c>
      <c r="L210" s="1">
        <f t="shared" si="42"/>
        <v>34412.5</v>
      </c>
      <c r="M210">
        <f t="shared" si="35"/>
        <v>138000000</v>
      </c>
      <c r="N210" s="7"/>
    </row>
    <row r="211" spans="1:14" x14ac:dyDescent="0.25">
      <c r="A211">
        <f t="shared" si="43"/>
        <v>210</v>
      </c>
      <c r="B211" s="1">
        <v>2776500000000</v>
      </c>
      <c r="C211" s="1">
        <v>275300000000</v>
      </c>
      <c r="D211">
        <f t="shared" si="34"/>
        <v>8.08</v>
      </c>
      <c r="E211" s="1">
        <f t="shared" si="33"/>
        <v>80800</v>
      </c>
      <c r="F211" s="1">
        <f t="shared" si="36"/>
        <v>3675742.574257426</v>
      </c>
      <c r="G211" s="1">
        <f t="shared" si="37"/>
        <v>1837871.287128713</v>
      </c>
      <c r="H211" s="1">
        <f t="shared" si="38"/>
        <v>735148.51485148515</v>
      </c>
      <c r="I211" s="1">
        <f t="shared" si="39"/>
        <v>367574.25742574257</v>
      </c>
      <c r="J211" s="1">
        <f t="shared" si="40"/>
        <v>245049.50495049506</v>
      </c>
      <c r="K211" s="1">
        <f t="shared" si="41"/>
        <v>122524.75247524753</v>
      </c>
      <c r="L211" s="1">
        <f t="shared" si="42"/>
        <v>36757.425742574254</v>
      </c>
      <c r="M211">
        <f t="shared" si="35"/>
        <v>149000000</v>
      </c>
      <c r="N211" s="7"/>
    </row>
    <row r="212" spans="1:14" x14ac:dyDescent="0.25">
      <c r="A212">
        <f t="shared" si="43"/>
        <v>211</v>
      </c>
      <c r="B212" s="1">
        <v>3073500000000</v>
      </c>
      <c r="C212" s="1">
        <v>297000000000</v>
      </c>
      <c r="D212">
        <f t="shared" si="34"/>
        <v>8.16</v>
      </c>
      <c r="E212" s="1">
        <f t="shared" si="33"/>
        <v>81600</v>
      </c>
      <c r="F212" s="1">
        <f t="shared" si="36"/>
        <v>3905637.254901961</v>
      </c>
      <c r="G212" s="1">
        <f t="shared" si="37"/>
        <v>1952818.6274509805</v>
      </c>
      <c r="H212" s="1">
        <f t="shared" si="38"/>
        <v>781127.45098039217</v>
      </c>
      <c r="I212" s="1">
        <f t="shared" si="39"/>
        <v>390563.72549019608</v>
      </c>
      <c r="J212" s="1">
        <f t="shared" si="40"/>
        <v>260375.81699346405</v>
      </c>
      <c r="K212" s="1">
        <f t="shared" si="41"/>
        <v>130187.90849673202</v>
      </c>
      <c r="L212" s="1">
        <f t="shared" si="42"/>
        <v>39056.372549019608</v>
      </c>
      <c r="M212">
        <f t="shared" si="35"/>
        <v>159000000</v>
      </c>
      <c r="N212" s="7"/>
    </row>
    <row r="213" spans="1:14" x14ac:dyDescent="0.25">
      <c r="A213">
        <f t="shared" si="43"/>
        <v>212</v>
      </c>
      <c r="B213" s="1">
        <v>3392200000000</v>
      </c>
      <c r="C213" s="1">
        <v>318700000000</v>
      </c>
      <c r="D213">
        <f t="shared" si="34"/>
        <v>8.24</v>
      </c>
      <c r="E213" s="1">
        <f t="shared" si="33"/>
        <v>82400</v>
      </c>
      <c r="F213" s="1">
        <f t="shared" si="36"/>
        <v>4131067.9611650486</v>
      </c>
      <c r="G213" s="1">
        <f t="shared" si="37"/>
        <v>2065533.9805825243</v>
      </c>
      <c r="H213" s="1">
        <f t="shared" si="38"/>
        <v>826213.59223300975</v>
      </c>
      <c r="I213" s="1">
        <f t="shared" si="39"/>
        <v>413106.79611650488</v>
      </c>
      <c r="J213" s="1">
        <f t="shared" si="40"/>
        <v>275404.53074433655</v>
      </c>
      <c r="K213" s="1">
        <f t="shared" si="41"/>
        <v>137702.26537216827</v>
      </c>
      <c r="L213" s="1">
        <f t="shared" si="42"/>
        <v>41310.679611650485</v>
      </c>
      <c r="M213">
        <f t="shared" si="35"/>
        <v>170000000</v>
      </c>
      <c r="N213" s="7"/>
    </row>
    <row r="214" spans="1:14" x14ac:dyDescent="0.25">
      <c r="A214">
        <f t="shared" si="43"/>
        <v>213</v>
      </c>
      <c r="B214" s="1">
        <v>3732600000000</v>
      </c>
      <c r="C214" s="1">
        <v>340400000000</v>
      </c>
      <c r="D214">
        <f t="shared" si="34"/>
        <v>8.33</v>
      </c>
      <c r="E214" s="1">
        <f t="shared" si="33"/>
        <v>83300</v>
      </c>
      <c r="F214" s="1">
        <f t="shared" si="36"/>
        <v>4346938.775510204</v>
      </c>
      <c r="G214" s="1">
        <f t="shared" si="37"/>
        <v>2173469.387755102</v>
      </c>
      <c r="H214" s="1">
        <f t="shared" si="38"/>
        <v>869387.75510204083</v>
      </c>
      <c r="I214" s="1">
        <f t="shared" si="39"/>
        <v>434693.87755102041</v>
      </c>
      <c r="J214" s="1">
        <f t="shared" si="40"/>
        <v>289795.91836734692</v>
      </c>
      <c r="K214" s="1">
        <f t="shared" si="41"/>
        <v>144897.95918367346</v>
      </c>
      <c r="L214" s="1">
        <f t="shared" si="42"/>
        <v>43469.387755102041</v>
      </c>
      <c r="M214">
        <f t="shared" si="35"/>
        <v>181000000</v>
      </c>
      <c r="N214" s="7"/>
    </row>
    <row r="215" spans="1:14" x14ac:dyDescent="0.25">
      <c r="A215">
        <f t="shared" si="43"/>
        <v>214</v>
      </c>
      <c r="B215" s="1">
        <v>4094700000000</v>
      </c>
      <c r="C215" s="1">
        <v>362100000000</v>
      </c>
      <c r="D215">
        <f t="shared" si="34"/>
        <v>8.41</v>
      </c>
      <c r="E215" s="1">
        <f t="shared" si="33"/>
        <v>84100</v>
      </c>
      <c r="F215" s="1">
        <f t="shared" si="36"/>
        <v>4563614.7443519616</v>
      </c>
      <c r="G215" s="1">
        <f t="shared" si="37"/>
        <v>2281807.3721759808</v>
      </c>
      <c r="H215" s="1">
        <f t="shared" si="38"/>
        <v>912722.9488703924</v>
      </c>
      <c r="I215" s="1">
        <f t="shared" si="39"/>
        <v>456361.4744351962</v>
      </c>
      <c r="J215" s="1">
        <f t="shared" si="40"/>
        <v>304240.98295679747</v>
      </c>
      <c r="K215" s="1">
        <f t="shared" si="41"/>
        <v>152120.49147839873</v>
      </c>
      <c r="L215" s="1">
        <f t="shared" si="42"/>
        <v>45636.147443519621</v>
      </c>
      <c r="M215">
        <f t="shared" si="35"/>
        <v>192000000</v>
      </c>
      <c r="N215" s="7"/>
    </row>
    <row r="216" spans="1:14" x14ac:dyDescent="0.25">
      <c r="A216">
        <f t="shared" si="43"/>
        <v>215</v>
      </c>
      <c r="B216" s="1">
        <v>4478500000000</v>
      </c>
      <c r="C216" s="1">
        <v>383800000000</v>
      </c>
      <c r="D216">
        <f t="shared" si="34"/>
        <v>8.49</v>
      </c>
      <c r="E216" s="1">
        <f t="shared" si="33"/>
        <v>84900</v>
      </c>
      <c r="F216" s="1">
        <f t="shared" si="36"/>
        <v>4776207.3027090691</v>
      </c>
      <c r="G216" s="1">
        <f t="shared" si="37"/>
        <v>2388103.6513545346</v>
      </c>
      <c r="H216" s="1">
        <f t="shared" si="38"/>
        <v>955241.46054181387</v>
      </c>
      <c r="I216" s="1">
        <f t="shared" si="39"/>
        <v>477620.73027090693</v>
      </c>
      <c r="J216" s="1">
        <f t="shared" si="40"/>
        <v>318413.82018060464</v>
      </c>
      <c r="K216" s="1">
        <f t="shared" si="41"/>
        <v>159206.91009030232</v>
      </c>
      <c r="L216" s="1">
        <f t="shared" si="42"/>
        <v>47762.073027090693</v>
      </c>
      <c r="M216">
        <f t="shared" si="35"/>
        <v>203000000</v>
      </c>
      <c r="N216" s="7"/>
    </row>
    <row r="217" spans="1:14" x14ac:dyDescent="0.25">
      <c r="A217">
        <f t="shared" si="43"/>
        <v>216</v>
      </c>
      <c r="B217" s="1">
        <v>4884000000000</v>
      </c>
      <c r="C217" s="1">
        <v>405500000000</v>
      </c>
      <c r="D217">
        <f t="shared" si="34"/>
        <v>8.58</v>
      </c>
      <c r="E217" s="1">
        <f t="shared" si="33"/>
        <v>85800</v>
      </c>
      <c r="F217" s="1">
        <f t="shared" si="36"/>
        <v>4979020.9790209793</v>
      </c>
      <c r="G217" s="1">
        <f t="shared" si="37"/>
        <v>2489510.4895104896</v>
      </c>
      <c r="H217" s="1">
        <f t="shared" si="38"/>
        <v>995804.19580419583</v>
      </c>
      <c r="I217" s="1">
        <f t="shared" si="39"/>
        <v>497902.09790209791</v>
      </c>
      <c r="J217" s="1">
        <f t="shared" si="40"/>
        <v>331934.73193473194</v>
      </c>
      <c r="K217" s="1">
        <f t="shared" si="41"/>
        <v>165967.36596736597</v>
      </c>
      <c r="L217" s="1">
        <f t="shared" si="42"/>
        <v>49790.209790209788</v>
      </c>
      <c r="M217">
        <f t="shared" si="35"/>
        <v>214000000</v>
      </c>
      <c r="N217" s="7"/>
    </row>
    <row r="218" spans="1:14" x14ac:dyDescent="0.25">
      <c r="A218">
        <f t="shared" si="43"/>
        <v>217</v>
      </c>
      <c r="B218" s="1">
        <v>5311200000000</v>
      </c>
      <c r="C218" s="1">
        <v>427200000000</v>
      </c>
      <c r="D218">
        <f t="shared" si="34"/>
        <v>8.66</v>
      </c>
      <c r="E218" s="1">
        <f t="shared" si="33"/>
        <v>86600</v>
      </c>
      <c r="F218" s="1">
        <f t="shared" si="36"/>
        <v>5183602.7713625869</v>
      </c>
      <c r="G218" s="1">
        <f t="shared" si="37"/>
        <v>2591801.3856812934</v>
      </c>
      <c r="H218" s="1">
        <f t="shared" si="38"/>
        <v>1036720.5542725173</v>
      </c>
      <c r="I218" s="1">
        <f t="shared" si="39"/>
        <v>518360.27713625866</v>
      </c>
      <c r="J218" s="1">
        <f t="shared" si="40"/>
        <v>345573.51809083909</v>
      </c>
      <c r="K218" s="1">
        <f t="shared" si="41"/>
        <v>172786.75904541955</v>
      </c>
      <c r="L218" s="1">
        <f t="shared" si="42"/>
        <v>51836.027713625866</v>
      </c>
      <c r="M218">
        <f t="shared" si="35"/>
        <v>224000000</v>
      </c>
      <c r="N218" s="7"/>
    </row>
    <row r="219" spans="1:14" x14ac:dyDescent="0.25">
      <c r="A219">
        <f t="shared" si="43"/>
        <v>218</v>
      </c>
      <c r="B219" s="1">
        <v>5760100000000</v>
      </c>
      <c r="C219" s="1">
        <v>448900000000</v>
      </c>
      <c r="D219">
        <f t="shared" si="34"/>
        <v>8.75</v>
      </c>
      <c r="E219" s="1">
        <f t="shared" si="33"/>
        <v>87500</v>
      </c>
      <c r="F219" s="1">
        <f t="shared" si="36"/>
        <v>5378285.7142857146</v>
      </c>
      <c r="G219" s="1">
        <f t="shared" si="37"/>
        <v>2689142.8571428573</v>
      </c>
      <c r="H219" s="1">
        <f t="shared" si="38"/>
        <v>1075657.142857143</v>
      </c>
      <c r="I219" s="1">
        <f t="shared" si="39"/>
        <v>537828.57142857148</v>
      </c>
      <c r="J219" s="1">
        <f t="shared" si="40"/>
        <v>358552.38095238095</v>
      </c>
      <c r="K219" s="1">
        <f t="shared" si="41"/>
        <v>179276.19047619047</v>
      </c>
      <c r="L219" s="1">
        <f t="shared" si="42"/>
        <v>53782.857142857145</v>
      </c>
      <c r="M219">
        <f t="shared" si="35"/>
        <v>235000000</v>
      </c>
      <c r="N219" s="7"/>
    </row>
    <row r="220" spans="1:14" x14ac:dyDescent="0.25">
      <c r="A220">
        <f t="shared" si="43"/>
        <v>219</v>
      </c>
      <c r="B220" s="1">
        <v>6230700000000</v>
      </c>
      <c r="C220" s="1">
        <v>470600000000</v>
      </c>
      <c r="D220">
        <f t="shared" si="34"/>
        <v>8.84</v>
      </c>
      <c r="E220" s="1">
        <f t="shared" si="33"/>
        <v>88400</v>
      </c>
      <c r="F220" s="1">
        <f t="shared" si="36"/>
        <v>5569004.5248868782</v>
      </c>
      <c r="G220" s="1">
        <f t="shared" si="37"/>
        <v>2784502.2624434391</v>
      </c>
      <c r="H220" s="1">
        <f t="shared" si="38"/>
        <v>1113800.9049773756</v>
      </c>
      <c r="I220" s="1">
        <f t="shared" si="39"/>
        <v>556900.45248868782</v>
      </c>
      <c r="J220" s="1">
        <f t="shared" si="40"/>
        <v>371266.96832579188</v>
      </c>
      <c r="K220" s="1">
        <f t="shared" si="41"/>
        <v>185633.48416289594</v>
      </c>
      <c r="L220" s="1">
        <f t="shared" si="42"/>
        <v>55690.045248868781</v>
      </c>
      <c r="M220">
        <f t="shared" si="35"/>
        <v>246000000</v>
      </c>
      <c r="N220" s="7"/>
    </row>
    <row r="221" spans="1:14" x14ac:dyDescent="0.25">
      <c r="A221">
        <f t="shared" si="43"/>
        <v>220</v>
      </c>
      <c r="B221" s="1">
        <v>6723000000000</v>
      </c>
      <c r="C221" s="1">
        <v>492300000000</v>
      </c>
      <c r="D221">
        <f t="shared" si="34"/>
        <v>8.93</v>
      </c>
      <c r="E221" s="1">
        <f t="shared" si="33"/>
        <v>89300</v>
      </c>
      <c r="F221" s="1">
        <f t="shared" si="36"/>
        <v>5755879.0593505036</v>
      </c>
      <c r="G221" s="1">
        <f t="shared" si="37"/>
        <v>2877939.5296752518</v>
      </c>
      <c r="H221" s="1">
        <f t="shared" si="38"/>
        <v>1151175.8118701007</v>
      </c>
      <c r="I221" s="1">
        <f t="shared" si="39"/>
        <v>575587.90593505034</v>
      </c>
      <c r="J221" s="1">
        <f t="shared" si="40"/>
        <v>383725.27062336693</v>
      </c>
      <c r="K221" s="1">
        <f t="shared" si="41"/>
        <v>191862.63531168347</v>
      </c>
      <c r="L221" s="1">
        <f t="shared" si="42"/>
        <v>57558.790593505037</v>
      </c>
      <c r="M221">
        <f t="shared" si="35"/>
        <v>257000000</v>
      </c>
      <c r="N221" s="7"/>
    </row>
    <row r="222" spans="1:14" x14ac:dyDescent="0.25">
      <c r="A222">
        <f t="shared" si="43"/>
        <v>221</v>
      </c>
      <c r="B222" s="1">
        <v>7237000000000</v>
      </c>
      <c r="C222" s="1">
        <v>514000000000</v>
      </c>
      <c r="D222">
        <f t="shared" si="34"/>
        <v>9.02</v>
      </c>
      <c r="E222" s="1">
        <f t="shared" si="33"/>
        <v>90200</v>
      </c>
      <c r="F222" s="1">
        <f t="shared" si="36"/>
        <v>5939024.3902439028</v>
      </c>
      <c r="G222" s="1">
        <f t="shared" si="37"/>
        <v>2969512.1951219514</v>
      </c>
      <c r="H222" s="1">
        <f t="shared" si="38"/>
        <v>1187804.8780487804</v>
      </c>
      <c r="I222" s="1">
        <f t="shared" si="39"/>
        <v>593902.43902439019</v>
      </c>
      <c r="J222" s="1">
        <f t="shared" si="40"/>
        <v>395934.9593495935</v>
      </c>
      <c r="K222" s="1">
        <f t="shared" si="41"/>
        <v>197967.47967479675</v>
      </c>
      <c r="L222" s="1">
        <f t="shared" si="42"/>
        <v>59390.243902439026</v>
      </c>
      <c r="M222">
        <f t="shared" si="35"/>
        <v>268000000</v>
      </c>
      <c r="N222" s="7"/>
    </row>
    <row r="223" spans="1:14" x14ac:dyDescent="0.25">
      <c r="A223">
        <f t="shared" si="43"/>
        <v>222</v>
      </c>
      <c r="B223" s="1">
        <v>7772700000000</v>
      </c>
      <c r="C223" s="1">
        <v>535700000000</v>
      </c>
      <c r="D223">
        <f t="shared" si="34"/>
        <v>9.11</v>
      </c>
      <c r="E223" s="1">
        <f t="shared" si="33"/>
        <v>91100</v>
      </c>
      <c r="F223" s="1">
        <f t="shared" si="36"/>
        <v>6118551.0428100992</v>
      </c>
      <c r="G223" s="1">
        <f t="shared" si="37"/>
        <v>3059275.5214050496</v>
      </c>
      <c r="H223" s="1">
        <f t="shared" si="38"/>
        <v>1223710.2085620197</v>
      </c>
      <c r="I223" s="1">
        <f t="shared" si="39"/>
        <v>611855.10428100987</v>
      </c>
      <c r="J223" s="1">
        <f t="shared" si="40"/>
        <v>407903.40285400656</v>
      </c>
      <c r="K223" s="1">
        <f t="shared" si="41"/>
        <v>203951.70142700328</v>
      </c>
      <c r="L223" s="1">
        <f t="shared" si="42"/>
        <v>61185.510428100984</v>
      </c>
      <c r="M223">
        <f t="shared" si="35"/>
        <v>279000000</v>
      </c>
      <c r="N223" s="7"/>
    </row>
    <row r="224" spans="1:14" x14ac:dyDescent="0.25">
      <c r="A224">
        <f t="shared" si="43"/>
        <v>223</v>
      </c>
      <c r="B224" s="1">
        <v>8330100000000</v>
      </c>
      <c r="C224" s="1">
        <v>557400000000</v>
      </c>
      <c r="D224">
        <f t="shared" si="34"/>
        <v>9.1999999999999993</v>
      </c>
      <c r="E224" s="1">
        <f t="shared" si="33"/>
        <v>92000</v>
      </c>
      <c r="F224" s="1">
        <f t="shared" si="36"/>
        <v>6294565.2173913047</v>
      </c>
      <c r="G224" s="1">
        <f t="shared" si="37"/>
        <v>3147282.6086956523</v>
      </c>
      <c r="H224" s="1">
        <f t="shared" si="38"/>
        <v>1258913.043478261</v>
      </c>
      <c r="I224" s="1">
        <f t="shared" si="39"/>
        <v>629456.52173913049</v>
      </c>
      <c r="J224" s="1">
        <f t="shared" si="40"/>
        <v>419637.68115942029</v>
      </c>
      <c r="K224" s="1">
        <f t="shared" si="41"/>
        <v>209818.84057971014</v>
      </c>
      <c r="L224" s="1">
        <f t="shared" si="42"/>
        <v>62945.65217391304</v>
      </c>
      <c r="M224">
        <f t="shared" si="35"/>
        <v>290000000</v>
      </c>
      <c r="N224" s="7"/>
    </row>
    <row r="225" spans="1:14" x14ac:dyDescent="0.25">
      <c r="A225">
        <f t="shared" si="43"/>
        <v>224</v>
      </c>
      <c r="B225" s="1">
        <v>8909200000000</v>
      </c>
      <c r="C225" s="1">
        <v>579100000000</v>
      </c>
      <c r="D225">
        <f t="shared" si="34"/>
        <v>9.2899999999999991</v>
      </c>
      <c r="E225" s="1">
        <f t="shared" si="33"/>
        <v>92899.999999999985</v>
      </c>
      <c r="F225" s="1">
        <f t="shared" si="36"/>
        <v>6467168.9989235746</v>
      </c>
      <c r="G225" s="1">
        <f t="shared" si="37"/>
        <v>3233584.4994617873</v>
      </c>
      <c r="H225" s="1">
        <f t="shared" si="38"/>
        <v>1293433.7997847148</v>
      </c>
      <c r="I225" s="1">
        <f t="shared" si="39"/>
        <v>646716.89989235741</v>
      </c>
      <c r="J225" s="1">
        <f t="shared" si="40"/>
        <v>431144.59992823831</v>
      </c>
      <c r="K225" s="1">
        <f t="shared" si="41"/>
        <v>215572.29996411916</v>
      </c>
      <c r="L225" s="1">
        <f t="shared" si="42"/>
        <v>64671.689989235747</v>
      </c>
      <c r="M225">
        <f t="shared" si="35"/>
        <v>300000000</v>
      </c>
      <c r="N225" s="7"/>
    </row>
    <row r="226" spans="1:14" x14ac:dyDescent="0.25">
      <c r="A226">
        <f t="shared" si="43"/>
        <v>225</v>
      </c>
      <c r="B226" s="1">
        <v>9510000000000</v>
      </c>
      <c r="C226" s="1">
        <v>600800000000</v>
      </c>
      <c r="D226">
        <f t="shared" si="34"/>
        <v>9.3800000000000008</v>
      </c>
      <c r="E226" s="1">
        <f t="shared" si="33"/>
        <v>93800.000000000015</v>
      </c>
      <c r="F226" s="1">
        <f t="shared" si="36"/>
        <v>6636460.5543710012</v>
      </c>
      <c r="G226" s="1">
        <f t="shared" si="37"/>
        <v>3318230.2771855006</v>
      </c>
      <c r="H226" s="1">
        <f t="shared" si="38"/>
        <v>1327292.1108742002</v>
      </c>
      <c r="I226" s="1">
        <f t="shared" si="39"/>
        <v>663646.05543710012</v>
      </c>
      <c r="J226" s="1">
        <f t="shared" si="40"/>
        <v>442430.70362473337</v>
      </c>
      <c r="K226" s="1">
        <f t="shared" si="41"/>
        <v>221215.35181236669</v>
      </c>
      <c r="L226" s="1">
        <f t="shared" si="42"/>
        <v>66364.605543710015</v>
      </c>
      <c r="M226">
        <f t="shared" si="35"/>
        <v>311000000</v>
      </c>
      <c r="N226" s="7"/>
    </row>
    <row r="227" spans="1:14" x14ac:dyDescent="0.25">
      <c r="A227">
        <f t="shared" si="43"/>
        <v>226</v>
      </c>
      <c r="B227" s="1">
        <v>10132500000000</v>
      </c>
      <c r="C227" s="1">
        <v>622500000000</v>
      </c>
      <c r="D227">
        <f t="shared" si="34"/>
        <v>9.48</v>
      </c>
      <c r="E227" s="1">
        <f t="shared" si="33"/>
        <v>94800</v>
      </c>
      <c r="F227" s="1">
        <f t="shared" si="36"/>
        <v>6795358.6497890297</v>
      </c>
      <c r="G227" s="1">
        <f t="shared" si="37"/>
        <v>3397679.3248945149</v>
      </c>
      <c r="H227" s="1">
        <f t="shared" si="38"/>
        <v>1359071.7299578059</v>
      </c>
      <c r="I227" s="1">
        <f t="shared" si="39"/>
        <v>679535.86497890297</v>
      </c>
      <c r="J227" s="1">
        <f t="shared" si="40"/>
        <v>453023.90998593532</v>
      </c>
      <c r="K227" s="1">
        <f t="shared" si="41"/>
        <v>226511.95499296766</v>
      </c>
      <c r="L227" s="1">
        <f t="shared" si="42"/>
        <v>67953.586497890297</v>
      </c>
      <c r="M227">
        <f t="shared" si="35"/>
        <v>322000000</v>
      </c>
      <c r="N227" s="7"/>
    </row>
    <row r="228" spans="1:14" x14ac:dyDescent="0.25">
      <c r="A228">
        <f t="shared" si="43"/>
        <v>227</v>
      </c>
      <c r="B228" s="1">
        <v>10776700000000</v>
      </c>
      <c r="C228" s="1">
        <v>644200000000</v>
      </c>
      <c r="D228">
        <f t="shared" si="34"/>
        <v>9.57</v>
      </c>
      <c r="E228" s="1">
        <f t="shared" si="33"/>
        <v>95700</v>
      </c>
      <c r="F228" s="1">
        <f t="shared" si="36"/>
        <v>6958202.7168234065</v>
      </c>
      <c r="G228" s="1">
        <f t="shared" si="37"/>
        <v>3479101.3584117033</v>
      </c>
      <c r="H228" s="1">
        <f t="shared" si="38"/>
        <v>1391640.5433646813</v>
      </c>
      <c r="I228" s="1">
        <f t="shared" si="39"/>
        <v>695820.27168234065</v>
      </c>
      <c r="J228" s="1">
        <f t="shared" si="40"/>
        <v>463880.18112156045</v>
      </c>
      <c r="K228" s="1">
        <f t="shared" si="41"/>
        <v>231940.09056078023</v>
      </c>
      <c r="L228" s="1">
        <f t="shared" si="42"/>
        <v>69582.027168234068</v>
      </c>
      <c r="M228">
        <f t="shared" si="35"/>
        <v>333000000</v>
      </c>
      <c r="N228" s="7"/>
    </row>
    <row r="229" spans="1:14" x14ac:dyDescent="0.25">
      <c r="A229">
        <f t="shared" si="43"/>
        <v>228</v>
      </c>
      <c r="B229" s="1">
        <v>11442600000000</v>
      </c>
      <c r="C229" s="1">
        <v>665900000000</v>
      </c>
      <c r="D229">
        <f t="shared" si="34"/>
        <v>9.67</v>
      </c>
      <c r="E229" s="1">
        <f t="shared" si="33"/>
        <v>96700</v>
      </c>
      <c r="F229" s="1">
        <f t="shared" si="36"/>
        <v>7110651.4994829372</v>
      </c>
      <c r="G229" s="1">
        <f t="shared" si="37"/>
        <v>3555325.7497414686</v>
      </c>
      <c r="H229" s="1">
        <f t="shared" si="38"/>
        <v>1422130.2998965874</v>
      </c>
      <c r="I229" s="1">
        <f t="shared" si="39"/>
        <v>711065.14994829369</v>
      </c>
      <c r="J229" s="1">
        <f t="shared" si="40"/>
        <v>474043.43329886248</v>
      </c>
      <c r="K229" s="1">
        <f t="shared" si="41"/>
        <v>237021.71664943124</v>
      </c>
      <c r="L229" s="1">
        <f t="shared" si="42"/>
        <v>71106.514994829369</v>
      </c>
      <c r="M229">
        <f t="shared" si="35"/>
        <v>344000000</v>
      </c>
      <c r="N229" s="7"/>
    </row>
    <row r="230" spans="1:14" x14ac:dyDescent="0.25">
      <c r="A230">
        <f t="shared" si="43"/>
        <v>229</v>
      </c>
      <c r="B230" s="1">
        <v>12130200000000</v>
      </c>
      <c r="C230" s="1">
        <v>687600000000</v>
      </c>
      <c r="D230">
        <f t="shared" si="34"/>
        <v>9.76</v>
      </c>
      <c r="E230" s="1">
        <f t="shared" si="33"/>
        <v>97600</v>
      </c>
      <c r="F230" s="1">
        <f t="shared" si="36"/>
        <v>7267418.0327868853</v>
      </c>
      <c r="G230" s="1">
        <f t="shared" si="37"/>
        <v>3633709.0163934426</v>
      </c>
      <c r="H230" s="1">
        <f t="shared" si="38"/>
        <v>1453483.6065573771</v>
      </c>
      <c r="I230" s="1">
        <f t="shared" si="39"/>
        <v>726741.80327868857</v>
      </c>
      <c r="J230" s="1">
        <f t="shared" si="40"/>
        <v>484494.5355191257</v>
      </c>
      <c r="K230" s="1">
        <f t="shared" si="41"/>
        <v>242247.26775956285</v>
      </c>
      <c r="L230" s="1">
        <f t="shared" si="42"/>
        <v>72674.180327868846</v>
      </c>
      <c r="M230">
        <f t="shared" si="35"/>
        <v>355000000</v>
      </c>
      <c r="N230" s="7"/>
    </row>
    <row r="231" spans="1:14" x14ac:dyDescent="0.25">
      <c r="A231">
        <f t="shared" si="43"/>
        <v>230</v>
      </c>
      <c r="B231" s="1">
        <v>12839500000000</v>
      </c>
      <c r="C231" s="1">
        <v>709300000000</v>
      </c>
      <c r="D231">
        <f t="shared" si="34"/>
        <v>9.86</v>
      </c>
      <c r="E231" s="1">
        <f t="shared" si="33"/>
        <v>98600</v>
      </c>
      <c r="F231" s="1">
        <f t="shared" si="36"/>
        <v>7413793.1034482755</v>
      </c>
      <c r="G231" s="1">
        <f t="shared" si="37"/>
        <v>3706896.5517241377</v>
      </c>
      <c r="H231" s="1">
        <f t="shared" si="38"/>
        <v>1482758.6206896552</v>
      </c>
      <c r="I231" s="1">
        <f t="shared" si="39"/>
        <v>741379.31034482759</v>
      </c>
      <c r="J231" s="1">
        <f t="shared" si="40"/>
        <v>494252.8735632184</v>
      </c>
      <c r="K231" s="1">
        <f t="shared" si="41"/>
        <v>247126.4367816092</v>
      </c>
      <c r="L231" s="1">
        <f t="shared" si="42"/>
        <v>74137.931034482754</v>
      </c>
      <c r="M231">
        <f t="shared" si="35"/>
        <v>366000000</v>
      </c>
      <c r="N231" s="7"/>
    </row>
    <row r="232" spans="1:14" x14ac:dyDescent="0.25">
      <c r="A232">
        <f t="shared" si="43"/>
        <v>231</v>
      </c>
      <c r="B232" s="1">
        <v>13570500000000</v>
      </c>
      <c r="C232" s="1">
        <v>731000000000</v>
      </c>
      <c r="D232">
        <f t="shared" si="34"/>
        <v>9.9600000000000009</v>
      </c>
      <c r="E232" s="1">
        <f t="shared" si="33"/>
        <v>99600.000000000015</v>
      </c>
      <c r="F232" s="1">
        <f t="shared" si="36"/>
        <v>7557228.9156626491</v>
      </c>
      <c r="G232" s="1">
        <f t="shared" si="37"/>
        <v>3778614.4578313245</v>
      </c>
      <c r="H232" s="1">
        <f t="shared" si="38"/>
        <v>1511445.7831325301</v>
      </c>
      <c r="I232" s="1">
        <f t="shared" si="39"/>
        <v>755722.89156626503</v>
      </c>
      <c r="J232" s="1">
        <f t="shared" si="40"/>
        <v>503815.26104417664</v>
      </c>
      <c r="K232" s="1">
        <f t="shared" si="41"/>
        <v>251907.63052208832</v>
      </c>
      <c r="L232" s="1">
        <f t="shared" si="42"/>
        <v>75572.289156626488</v>
      </c>
      <c r="M232">
        <f t="shared" si="35"/>
        <v>376000000</v>
      </c>
      <c r="N232" s="7"/>
    </row>
    <row r="233" spans="1:14" x14ac:dyDescent="0.25">
      <c r="A233">
        <f t="shared" si="43"/>
        <v>232</v>
      </c>
      <c r="B233" s="1">
        <v>14323200000000</v>
      </c>
      <c r="C233" s="1">
        <v>752700000000</v>
      </c>
      <c r="D233">
        <f t="shared" si="34"/>
        <v>10.06</v>
      </c>
      <c r="E233" s="1">
        <f t="shared" si="33"/>
        <v>100600</v>
      </c>
      <c r="F233" s="1">
        <f t="shared" si="36"/>
        <v>7697813.1212723656</v>
      </c>
      <c r="G233" s="1">
        <f t="shared" si="37"/>
        <v>3848906.5606361828</v>
      </c>
      <c r="H233" s="1">
        <f t="shared" si="38"/>
        <v>1539562.6242544733</v>
      </c>
      <c r="I233" s="1">
        <f t="shared" si="39"/>
        <v>769781.31212723663</v>
      </c>
      <c r="J233" s="1">
        <f t="shared" si="40"/>
        <v>513187.54141815769</v>
      </c>
      <c r="K233" s="1">
        <f t="shared" si="41"/>
        <v>256593.77070907885</v>
      </c>
      <c r="L233" s="1">
        <f t="shared" si="42"/>
        <v>76978.13121272366</v>
      </c>
      <c r="M233">
        <f t="shared" si="35"/>
        <v>387000000</v>
      </c>
      <c r="N233" s="7"/>
    </row>
    <row r="234" spans="1:14" x14ac:dyDescent="0.25">
      <c r="A234">
        <f t="shared" si="43"/>
        <v>233</v>
      </c>
      <c r="B234" s="1">
        <v>15097600000000</v>
      </c>
      <c r="C234" s="1">
        <v>774400000000</v>
      </c>
      <c r="D234">
        <f t="shared" si="34"/>
        <v>10.16</v>
      </c>
      <c r="E234" s="1">
        <f t="shared" si="33"/>
        <v>101600</v>
      </c>
      <c r="F234" s="1">
        <f t="shared" si="36"/>
        <v>7835629.9212598428</v>
      </c>
      <c r="G234" s="1">
        <f t="shared" si="37"/>
        <v>3917814.9606299214</v>
      </c>
      <c r="H234" s="1">
        <f t="shared" si="38"/>
        <v>1567125.9842519686</v>
      </c>
      <c r="I234" s="1">
        <f t="shared" si="39"/>
        <v>783562.99212598428</v>
      </c>
      <c r="J234" s="1">
        <f t="shared" si="40"/>
        <v>522375.3280839895</v>
      </c>
      <c r="K234" s="1">
        <f t="shared" si="41"/>
        <v>261187.66404199475</v>
      </c>
      <c r="L234" s="1">
        <f t="shared" si="42"/>
        <v>78356.299212598431</v>
      </c>
      <c r="M234">
        <f t="shared" si="35"/>
        <v>398000000</v>
      </c>
      <c r="N234" s="7"/>
    </row>
    <row r="235" spans="1:14" x14ac:dyDescent="0.25">
      <c r="A235">
        <f t="shared" si="43"/>
        <v>234</v>
      </c>
      <c r="B235" s="1">
        <v>15893700000000</v>
      </c>
      <c r="C235" s="1">
        <v>796100000000</v>
      </c>
      <c r="D235">
        <f t="shared" si="34"/>
        <v>10.26</v>
      </c>
      <c r="E235" s="1">
        <f t="shared" si="33"/>
        <v>102600</v>
      </c>
      <c r="F235" s="1">
        <f t="shared" si="36"/>
        <v>7970760.2339181285</v>
      </c>
      <c r="G235" s="1">
        <f t="shared" si="37"/>
        <v>3985380.1169590643</v>
      </c>
      <c r="H235" s="1">
        <f t="shared" si="38"/>
        <v>1594152.0467836258</v>
      </c>
      <c r="I235" s="1">
        <f t="shared" si="39"/>
        <v>797076.02339181292</v>
      </c>
      <c r="J235" s="1">
        <f t="shared" si="40"/>
        <v>531384.01559454191</v>
      </c>
      <c r="K235" s="1">
        <f t="shared" si="41"/>
        <v>265692.00779727096</v>
      </c>
      <c r="L235" s="1">
        <f t="shared" si="42"/>
        <v>79707.602339181292</v>
      </c>
      <c r="M235">
        <f t="shared" si="35"/>
        <v>409000000</v>
      </c>
      <c r="N235" s="7"/>
    </row>
    <row r="236" spans="1:14" x14ac:dyDescent="0.25">
      <c r="A236">
        <f t="shared" si="43"/>
        <v>235</v>
      </c>
      <c r="B236" s="1">
        <v>16711500000000</v>
      </c>
      <c r="C236" s="1">
        <v>817800000000</v>
      </c>
      <c r="D236">
        <f t="shared" si="34"/>
        <v>10.36</v>
      </c>
      <c r="E236" s="1">
        <f t="shared" si="33"/>
        <v>103600</v>
      </c>
      <c r="F236" s="1">
        <f t="shared" si="36"/>
        <v>8103281.8532818537</v>
      </c>
      <c r="G236" s="1">
        <f t="shared" si="37"/>
        <v>4051640.9266409269</v>
      </c>
      <c r="H236" s="1">
        <f t="shared" si="38"/>
        <v>1620656.3706563707</v>
      </c>
      <c r="I236" s="1">
        <f t="shared" si="39"/>
        <v>810328.18532818533</v>
      </c>
      <c r="J236" s="1">
        <f t="shared" si="40"/>
        <v>540218.79021879018</v>
      </c>
      <c r="K236" s="1">
        <f t="shared" si="41"/>
        <v>270109.39510939509</v>
      </c>
      <c r="L236" s="1">
        <f t="shared" si="42"/>
        <v>81032.818532818535</v>
      </c>
      <c r="M236">
        <f t="shared" si="35"/>
        <v>420000000</v>
      </c>
      <c r="N236" s="7"/>
    </row>
    <row r="237" spans="1:14" x14ac:dyDescent="0.25">
      <c r="A237">
        <f t="shared" si="43"/>
        <v>236</v>
      </c>
      <c r="B237" s="1">
        <v>17551000000000</v>
      </c>
      <c r="C237" s="1">
        <v>839500000000</v>
      </c>
      <c r="D237">
        <f t="shared" si="34"/>
        <v>10.47</v>
      </c>
      <c r="E237" s="1">
        <f t="shared" si="33"/>
        <v>104700</v>
      </c>
      <c r="F237" s="1">
        <f t="shared" si="36"/>
        <v>8225405.9216809934</v>
      </c>
      <c r="G237" s="1">
        <f t="shared" si="37"/>
        <v>4112702.9608404967</v>
      </c>
      <c r="H237" s="1">
        <f t="shared" si="38"/>
        <v>1645081.1843361987</v>
      </c>
      <c r="I237" s="1">
        <f t="shared" si="39"/>
        <v>822540.59216809936</v>
      </c>
      <c r="J237" s="1">
        <f t="shared" si="40"/>
        <v>548360.39477873291</v>
      </c>
      <c r="K237" s="1">
        <f t="shared" si="41"/>
        <v>274180.19738936645</v>
      </c>
      <c r="L237" s="1">
        <f t="shared" si="42"/>
        <v>82254.059216809939</v>
      </c>
      <c r="M237">
        <f t="shared" si="35"/>
        <v>431000000</v>
      </c>
      <c r="N237" s="7"/>
    </row>
    <row r="238" spans="1:14" x14ac:dyDescent="0.25">
      <c r="A238">
        <f t="shared" si="43"/>
        <v>237</v>
      </c>
      <c r="B238" s="1">
        <v>18412200000000</v>
      </c>
      <c r="C238" s="1">
        <v>861200000000</v>
      </c>
      <c r="D238">
        <f t="shared" si="34"/>
        <v>10.57</v>
      </c>
      <c r="E238" s="1">
        <f t="shared" si="33"/>
        <v>105700</v>
      </c>
      <c r="F238" s="1">
        <f t="shared" si="36"/>
        <v>8352885.525070956</v>
      </c>
      <c r="G238" s="1">
        <f t="shared" si="37"/>
        <v>4176442.762535478</v>
      </c>
      <c r="H238" s="1">
        <f t="shared" si="38"/>
        <v>1670577.105014191</v>
      </c>
      <c r="I238" s="1">
        <f t="shared" si="39"/>
        <v>835288.5525070955</v>
      </c>
      <c r="J238" s="1">
        <f t="shared" si="40"/>
        <v>556859.03500473034</v>
      </c>
      <c r="K238" s="1">
        <f t="shared" si="41"/>
        <v>278429.51750236517</v>
      </c>
      <c r="L238" s="1">
        <f t="shared" si="42"/>
        <v>83528.855250709559</v>
      </c>
      <c r="M238">
        <f t="shared" si="35"/>
        <v>441000000</v>
      </c>
      <c r="N238" s="7"/>
    </row>
    <row r="239" spans="1:14" x14ac:dyDescent="0.25">
      <c r="A239">
        <f t="shared" si="43"/>
        <v>238</v>
      </c>
      <c r="B239" s="1">
        <v>19295100000000</v>
      </c>
      <c r="C239" s="1">
        <v>882900000000</v>
      </c>
      <c r="D239">
        <f t="shared" si="34"/>
        <v>10.68</v>
      </c>
      <c r="E239" s="1">
        <f t="shared" si="33"/>
        <v>106800</v>
      </c>
      <c r="F239" s="1">
        <f t="shared" si="36"/>
        <v>8470037.4531835206</v>
      </c>
      <c r="G239" s="1">
        <f t="shared" si="37"/>
        <v>4235018.7265917603</v>
      </c>
      <c r="H239" s="1">
        <f t="shared" si="38"/>
        <v>1694007.490636704</v>
      </c>
      <c r="I239" s="1">
        <f t="shared" si="39"/>
        <v>847003.74531835201</v>
      </c>
      <c r="J239" s="1">
        <f t="shared" si="40"/>
        <v>564669.16354556801</v>
      </c>
      <c r="K239" s="1">
        <f t="shared" si="41"/>
        <v>282334.581772784</v>
      </c>
      <c r="L239" s="1">
        <f t="shared" si="42"/>
        <v>84700.374531835201</v>
      </c>
      <c r="M239">
        <f t="shared" si="35"/>
        <v>452000000</v>
      </c>
      <c r="N239" s="7"/>
    </row>
    <row r="240" spans="1:14" x14ac:dyDescent="0.25">
      <c r="A240">
        <f t="shared" si="43"/>
        <v>239</v>
      </c>
      <c r="B240" s="1">
        <v>20199700000000</v>
      </c>
      <c r="C240" s="1">
        <v>904600000000</v>
      </c>
      <c r="D240">
        <f t="shared" si="34"/>
        <v>10.78</v>
      </c>
      <c r="E240" s="1">
        <f t="shared" si="33"/>
        <v>107800</v>
      </c>
      <c r="F240" s="1">
        <f t="shared" si="36"/>
        <v>8592764.3784786649</v>
      </c>
      <c r="G240" s="1">
        <f t="shared" si="37"/>
        <v>4296382.1892393325</v>
      </c>
      <c r="H240" s="1">
        <f t="shared" si="38"/>
        <v>1718552.8756957329</v>
      </c>
      <c r="I240" s="1">
        <f t="shared" si="39"/>
        <v>859276.43784786644</v>
      </c>
      <c r="J240" s="1">
        <f t="shared" si="40"/>
        <v>572850.95856524433</v>
      </c>
      <c r="K240" s="1">
        <f t="shared" si="41"/>
        <v>286425.47928262217</v>
      </c>
      <c r="L240" s="1">
        <f t="shared" si="42"/>
        <v>85927.643784786647</v>
      </c>
      <c r="M240">
        <f t="shared" si="35"/>
        <v>463000000</v>
      </c>
      <c r="N240" s="7"/>
    </row>
    <row r="241" spans="1:14" x14ac:dyDescent="0.25">
      <c r="A241">
        <f t="shared" si="43"/>
        <v>240</v>
      </c>
      <c r="B241" s="1">
        <v>21126000000000</v>
      </c>
      <c r="C241" s="1">
        <v>926300000000</v>
      </c>
      <c r="D241">
        <f t="shared" si="34"/>
        <v>10.89</v>
      </c>
      <c r="E241" s="1">
        <f t="shared" si="33"/>
        <v>108900</v>
      </c>
      <c r="F241" s="1">
        <f t="shared" si="36"/>
        <v>8705234.1597796138</v>
      </c>
      <c r="G241" s="1">
        <f t="shared" si="37"/>
        <v>4352617.0798898069</v>
      </c>
      <c r="H241" s="1">
        <f t="shared" si="38"/>
        <v>1741046.8319559228</v>
      </c>
      <c r="I241" s="1">
        <f t="shared" si="39"/>
        <v>870523.41597796138</v>
      </c>
      <c r="J241" s="1">
        <f t="shared" si="40"/>
        <v>580348.94398530759</v>
      </c>
      <c r="K241" s="1">
        <f t="shared" si="41"/>
        <v>290174.47199265379</v>
      </c>
      <c r="L241" s="1">
        <f t="shared" si="42"/>
        <v>87052.341597796141</v>
      </c>
      <c r="M241">
        <f t="shared" si="35"/>
        <v>474000000</v>
      </c>
      <c r="N241" s="7"/>
    </row>
    <row r="242" spans="1:14" x14ac:dyDescent="0.25">
      <c r="A242">
        <f t="shared" si="43"/>
        <v>241</v>
      </c>
      <c r="B242" s="1">
        <v>22074000000000</v>
      </c>
      <c r="C242" s="1">
        <v>948000000000</v>
      </c>
      <c r="D242">
        <f t="shared" si="34"/>
        <v>11</v>
      </c>
      <c r="E242" s="1">
        <f t="shared" si="33"/>
        <v>110000</v>
      </c>
      <c r="F242" s="1">
        <f t="shared" si="36"/>
        <v>8815454.5454545449</v>
      </c>
      <c r="G242" s="1">
        <f t="shared" si="37"/>
        <v>4407727.2727272725</v>
      </c>
      <c r="H242" s="1">
        <f t="shared" si="38"/>
        <v>1763090.9090909092</v>
      </c>
      <c r="I242" s="1">
        <f t="shared" si="39"/>
        <v>881545.45454545459</v>
      </c>
      <c r="J242" s="1">
        <f t="shared" si="40"/>
        <v>587696.96969696973</v>
      </c>
      <c r="K242" s="1">
        <f t="shared" si="41"/>
        <v>293848.48484848486</v>
      </c>
      <c r="L242" s="1">
        <f t="shared" si="42"/>
        <v>88154.545454545456</v>
      </c>
      <c r="M242">
        <f t="shared" si="35"/>
        <v>485000000</v>
      </c>
      <c r="N242" s="7"/>
    </row>
    <row r="243" spans="1:14" x14ac:dyDescent="0.25">
      <c r="A243">
        <f t="shared" si="43"/>
        <v>242</v>
      </c>
      <c r="B243" s="1">
        <v>23043700000000</v>
      </c>
      <c r="C243" s="1">
        <v>969700000000</v>
      </c>
      <c r="D243">
        <f t="shared" si="34"/>
        <v>11.11</v>
      </c>
      <c r="E243" s="1">
        <f t="shared" si="33"/>
        <v>111100</v>
      </c>
      <c r="F243" s="1">
        <f t="shared" si="36"/>
        <v>8923492.3492349237</v>
      </c>
      <c r="G243" s="1">
        <f t="shared" si="37"/>
        <v>4461746.1746174619</v>
      </c>
      <c r="H243" s="1">
        <f t="shared" si="38"/>
        <v>1784698.4698469846</v>
      </c>
      <c r="I243" s="1">
        <f t="shared" si="39"/>
        <v>892349.2349234923</v>
      </c>
      <c r="J243" s="1">
        <f t="shared" si="40"/>
        <v>594899.48994899495</v>
      </c>
      <c r="K243" s="1">
        <f t="shared" si="41"/>
        <v>297449.74497449747</v>
      </c>
      <c r="L243" s="1">
        <f t="shared" si="42"/>
        <v>89234.923492349233</v>
      </c>
      <c r="M243">
        <f t="shared" si="35"/>
        <v>496000000</v>
      </c>
      <c r="N243" s="7"/>
    </row>
    <row r="244" spans="1:14" x14ac:dyDescent="0.25">
      <c r="A244">
        <f t="shared" si="43"/>
        <v>243</v>
      </c>
      <c r="B244" s="1">
        <v>24035100000000</v>
      </c>
      <c r="C244" s="1">
        <v>991400000000</v>
      </c>
      <c r="D244">
        <f t="shared" si="34"/>
        <v>11.22</v>
      </c>
      <c r="E244" s="1">
        <f t="shared" si="33"/>
        <v>112200</v>
      </c>
      <c r="F244" s="1">
        <f t="shared" si="36"/>
        <v>9029411.7647058815</v>
      </c>
      <c r="G244" s="1">
        <f t="shared" si="37"/>
        <v>4514705.8823529407</v>
      </c>
      <c r="H244" s="1">
        <f t="shared" si="38"/>
        <v>1805882.3529411764</v>
      </c>
      <c r="I244" s="1">
        <f t="shared" si="39"/>
        <v>902941.17647058819</v>
      </c>
      <c r="J244" s="1">
        <f t="shared" si="40"/>
        <v>601960.78431372554</v>
      </c>
      <c r="K244" s="1">
        <f t="shared" si="41"/>
        <v>300980.39215686277</v>
      </c>
      <c r="L244" s="1">
        <f t="shared" si="42"/>
        <v>90294.117647058825</v>
      </c>
      <c r="M244">
        <f t="shared" si="35"/>
        <v>507000000</v>
      </c>
      <c r="N244" s="7"/>
    </row>
    <row r="245" spans="1:14" x14ac:dyDescent="0.25">
      <c r="A245">
        <f t="shared" si="43"/>
        <v>244</v>
      </c>
      <c r="B245" s="1">
        <v>25048200000000</v>
      </c>
      <c r="C245" s="1">
        <v>1013100000000</v>
      </c>
      <c r="D245">
        <f t="shared" si="34"/>
        <v>11.33</v>
      </c>
      <c r="E245" s="1">
        <f t="shared" si="33"/>
        <v>113300</v>
      </c>
      <c r="F245" s="1">
        <f t="shared" si="36"/>
        <v>9133274.4924977943</v>
      </c>
      <c r="G245" s="1">
        <f t="shared" si="37"/>
        <v>4566637.2462488972</v>
      </c>
      <c r="H245" s="1">
        <f t="shared" si="38"/>
        <v>1826654.8984995587</v>
      </c>
      <c r="I245" s="1">
        <f t="shared" si="39"/>
        <v>913327.44924977934</v>
      </c>
      <c r="J245" s="1">
        <f t="shared" si="40"/>
        <v>608884.96616651956</v>
      </c>
      <c r="K245" s="1">
        <f t="shared" si="41"/>
        <v>304442.48308325978</v>
      </c>
      <c r="L245" s="1">
        <f t="shared" si="42"/>
        <v>91332.744924977931</v>
      </c>
      <c r="M245">
        <f t="shared" si="35"/>
        <v>517000000</v>
      </c>
      <c r="N245" s="7"/>
    </row>
    <row r="246" spans="1:14" x14ac:dyDescent="0.25">
      <c r="A246">
        <f t="shared" si="43"/>
        <v>245</v>
      </c>
      <c r="B246" s="1">
        <v>26083000000000</v>
      </c>
      <c r="C246" s="1">
        <v>1034800000000</v>
      </c>
      <c r="D246">
        <f t="shared" si="34"/>
        <v>11.45</v>
      </c>
      <c r="E246" s="1">
        <f t="shared" si="33"/>
        <v>114500</v>
      </c>
      <c r="F246" s="1">
        <f t="shared" si="36"/>
        <v>9227074.2358078603</v>
      </c>
      <c r="G246" s="1">
        <f t="shared" si="37"/>
        <v>4613537.1179039301</v>
      </c>
      <c r="H246" s="1">
        <f t="shared" si="38"/>
        <v>1845414.847161572</v>
      </c>
      <c r="I246" s="1">
        <f t="shared" si="39"/>
        <v>922707.42358078598</v>
      </c>
      <c r="J246" s="1">
        <f t="shared" si="40"/>
        <v>615138.28238719073</v>
      </c>
      <c r="K246" s="1">
        <f t="shared" si="41"/>
        <v>307569.14119359537</v>
      </c>
      <c r="L246" s="1">
        <f t="shared" si="42"/>
        <v>92270.742358078598</v>
      </c>
      <c r="M246">
        <f t="shared" si="35"/>
        <v>528000000</v>
      </c>
      <c r="N246" s="7"/>
    </row>
    <row r="247" spans="1:14" x14ac:dyDescent="0.25">
      <c r="A247">
        <f t="shared" si="43"/>
        <v>246</v>
      </c>
      <c r="B247" s="1">
        <v>27139500000000</v>
      </c>
      <c r="C247" s="1">
        <v>1056500000000</v>
      </c>
      <c r="D247">
        <f t="shared" si="34"/>
        <v>11.56</v>
      </c>
      <c r="E247" s="1">
        <f t="shared" si="33"/>
        <v>115600</v>
      </c>
      <c r="F247" s="1">
        <f t="shared" si="36"/>
        <v>9326989.6193771623</v>
      </c>
      <c r="G247" s="1">
        <f t="shared" si="37"/>
        <v>4663494.8096885812</v>
      </c>
      <c r="H247" s="1">
        <f t="shared" si="38"/>
        <v>1865397.9238754325</v>
      </c>
      <c r="I247" s="1">
        <f t="shared" si="39"/>
        <v>932698.96193771623</v>
      </c>
      <c r="J247" s="1">
        <f t="shared" si="40"/>
        <v>621799.30795847753</v>
      </c>
      <c r="K247" s="1">
        <f t="shared" si="41"/>
        <v>310899.65397923876</v>
      </c>
      <c r="L247" s="1">
        <f t="shared" si="42"/>
        <v>93269.896193771623</v>
      </c>
      <c r="M247">
        <f t="shared" si="35"/>
        <v>539000000</v>
      </c>
      <c r="N247" s="7"/>
    </row>
    <row r="248" spans="1:14" x14ac:dyDescent="0.25">
      <c r="A248">
        <f t="shared" si="43"/>
        <v>247</v>
      </c>
      <c r="B248" s="1">
        <v>28217700000000</v>
      </c>
      <c r="C248" s="1">
        <v>1078200000000</v>
      </c>
      <c r="D248">
        <f t="shared" si="34"/>
        <v>11.68</v>
      </c>
      <c r="E248" s="1">
        <f t="shared" si="33"/>
        <v>116800</v>
      </c>
      <c r="F248" s="1">
        <f t="shared" si="36"/>
        <v>9416952.0547945201</v>
      </c>
      <c r="G248" s="1">
        <f t="shared" si="37"/>
        <v>4708476.0273972601</v>
      </c>
      <c r="H248" s="1">
        <f t="shared" si="38"/>
        <v>1883390.4109589041</v>
      </c>
      <c r="I248" s="1">
        <f t="shared" si="39"/>
        <v>941695.20547945204</v>
      </c>
      <c r="J248" s="1">
        <f t="shared" si="40"/>
        <v>627796.80365296802</v>
      </c>
      <c r="K248" s="1">
        <f t="shared" si="41"/>
        <v>313898.40182648401</v>
      </c>
      <c r="L248" s="1">
        <f t="shared" si="42"/>
        <v>94169.520547945212</v>
      </c>
      <c r="M248">
        <f t="shared" si="35"/>
        <v>550000000</v>
      </c>
      <c r="N248" s="7"/>
    </row>
    <row r="249" spans="1:14" x14ac:dyDescent="0.25">
      <c r="A249">
        <f t="shared" si="43"/>
        <v>248</v>
      </c>
      <c r="B249" s="1">
        <v>29317600000000</v>
      </c>
      <c r="C249" s="1">
        <v>1099900000000</v>
      </c>
      <c r="D249">
        <f t="shared" si="34"/>
        <v>11.8</v>
      </c>
      <c r="E249" s="1">
        <f t="shared" si="33"/>
        <v>118000</v>
      </c>
      <c r="F249" s="1">
        <f t="shared" si="36"/>
        <v>9505084.7457627114</v>
      </c>
      <c r="G249" s="1">
        <f t="shared" si="37"/>
        <v>4752542.3728813557</v>
      </c>
      <c r="H249" s="1">
        <f t="shared" si="38"/>
        <v>1901016.9491525423</v>
      </c>
      <c r="I249" s="1">
        <f t="shared" si="39"/>
        <v>950508.47457627114</v>
      </c>
      <c r="J249" s="1">
        <f t="shared" si="40"/>
        <v>633672.3163841808</v>
      </c>
      <c r="K249" s="1">
        <f t="shared" si="41"/>
        <v>316836.1581920904</v>
      </c>
      <c r="L249" s="1">
        <f t="shared" si="42"/>
        <v>95050.847457627126</v>
      </c>
      <c r="M249">
        <f t="shared" si="35"/>
        <v>561000000</v>
      </c>
      <c r="N249" s="7"/>
    </row>
    <row r="250" spans="1:14" x14ac:dyDescent="0.25">
      <c r="A250">
        <f t="shared" si="43"/>
        <v>249</v>
      </c>
      <c r="B250" s="1">
        <v>30439200000000</v>
      </c>
      <c r="C250" s="1">
        <v>1121600000000</v>
      </c>
      <c r="D250">
        <f t="shared" si="34"/>
        <v>11.91</v>
      </c>
      <c r="E250" s="1">
        <f t="shared" si="33"/>
        <v>119100</v>
      </c>
      <c r="F250" s="1">
        <f t="shared" si="36"/>
        <v>9599496.2216624692</v>
      </c>
      <c r="G250" s="1">
        <f t="shared" si="37"/>
        <v>4799748.1108312346</v>
      </c>
      <c r="H250" s="1">
        <f t="shared" si="38"/>
        <v>1919899.2443324937</v>
      </c>
      <c r="I250" s="1">
        <f t="shared" si="39"/>
        <v>959949.62216624687</v>
      </c>
      <c r="J250" s="1">
        <f t="shared" si="40"/>
        <v>639966.41477749788</v>
      </c>
      <c r="K250" s="1">
        <f t="shared" si="41"/>
        <v>319983.20738874894</v>
      </c>
      <c r="L250" s="1">
        <f t="shared" si="42"/>
        <v>95994.962216624685</v>
      </c>
      <c r="M250">
        <f t="shared" si="35"/>
        <v>572000000</v>
      </c>
      <c r="N250" s="7"/>
    </row>
    <row r="251" spans="1:14" x14ac:dyDescent="0.25">
      <c r="A251">
        <f t="shared" si="43"/>
        <v>250</v>
      </c>
      <c r="B251" s="1">
        <v>31582500000000</v>
      </c>
      <c r="C251" s="1">
        <v>1143300000000</v>
      </c>
      <c r="D251">
        <f t="shared" si="34"/>
        <v>12.03</v>
      </c>
      <c r="E251" s="1">
        <f t="shared" si="33"/>
        <v>120300</v>
      </c>
      <c r="F251" s="1">
        <f t="shared" si="36"/>
        <v>9684123.0257689115</v>
      </c>
      <c r="G251" s="1">
        <f t="shared" si="37"/>
        <v>4842061.5128844557</v>
      </c>
      <c r="H251" s="1">
        <f t="shared" si="38"/>
        <v>1936824.6051537823</v>
      </c>
      <c r="I251" s="1">
        <f t="shared" si="39"/>
        <v>968412.30257689115</v>
      </c>
      <c r="J251" s="1">
        <f t="shared" si="40"/>
        <v>645608.20171792735</v>
      </c>
      <c r="K251" s="1">
        <f t="shared" si="41"/>
        <v>322804.10085896368</v>
      </c>
      <c r="L251" s="1">
        <f t="shared" si="42"/>
        <v>96841.230257689109</v>
      </c>
      <c r="M251">
        <f t="shared" si="35"/>
        <v>583000000</v>
      </c>
      <c r="N251" s="7"/>
    </row>
    <row r="252" spans="1:14" x14ac:dyDescent="0.25">
      <c r="A252">
        <f t="shared" si="43"/>
        <v>251</v>
      </c>
      <c r="B252" s="1">
        <v>32747500000000</v>
      </c>
      <c r="C252" s="1">
        <v>1165000000000</v>
      </c>
      <c r="D252">
        <f t="shared" si="34"/>
        <v>12.15</v>
      </c>
      <c r="E252" s="1">
        <f t="shared" si="33"/>
        <v>121500</v>
      </c>
      <c r="F252" s="1">
        <f t="shared" si="36"/>
        <v>9767078.1893004123</v>
      </c>
      <c r="G252" s="1">
        <f t="shared" si="37"/>
        <v>4883539.0946502062</v>
      </c>
      <c r="H252" s="1">
        <f t="shared" si="38"/>
        <v>1953415.6378600823</v>
      </c>
      <c r="I252" s="1">
        <f t="shared" si="39"/>
        <v>976707.81893004116</v>
      </c>
      <c r="J252" s="1">
        <f t="shared" si="40"/>
        <v>651138.54595336074</v>
      </c>
      <c r="K252" s="1">
        <f t="shared" si="41"/>
        <v>325569.27297668037</v>
      </c>
      <c r="L252" s="1">
        <f t="shared" si="42"/>
        <v>97670.78189300411</v>
      </c>
      <c r="M252">
        <f t="shared" si="35"/>
        <v>593000000</v>
      </c>
      <c r="N252" s="7"/>
    </row>
    <row r="253" spans="1:14" x14ac:dyDescent="0.25">
      <c r="A253">
        <f t="shared" si="43"/>
        <v>252</v>
      </c>
      <c r="B253" s="1">
        <v>33934200000000</v>
      </c>
      <c r="C253" s="1">
        <v>1186700000000</v>
      </c>
      <c r="D253">
        <f t="shared" si="34"/>
        <v>12.27</v>
      </c>
      <c r="E253" s="1">
        <f t="shared" si="33"/>
        <v>122700</v>
      </c>
      <c r="F253" s="1">
        <f t="shared" si="36"/>
        <v>9848410.75794621</v>
      </c>
      <c r="G253" s="1">
        <f t="shared" si="37"/>
        <v>4924205.378973105</v>
      </c>
      <c r="H253" s="1">
        <f t="shared" si="38"/>
        <v>1969682.151589242</v>
      </c>
      <c r="I253" s="1">
        <f t="shared" si="39"/>
        <v>984841.07579462102</v>
      </c>
      <c r="J253" s="1">
        <f t="shared" si="40"/>
        <v>656560.71719641401</v>
      </c>
      <c r="K253" s="1">
        <f t="shared" si="41"/>
        <v>328280.35859820701</v>
      </c>
      <c r="L253" s="1">
        <f t="shared" si="42"/>
        <v>98484.107579462099</v>
      </c>
      <c r="M253">
        <f t="shared" si="35"/>
        <v>604000000</v>
      </c>
      <c r="N253" s="7"/>
    </row>
    <row r="254" spans="1:14" x14ac:dyDescent="0.25">
      <c r="A254">
        <f t="shared" si="43"/>
        <v>253</v>
      </c>
      <c r="B254" s="1">
        <v>35142600000000</v>
      </c>
      <c r="C254" s="1">
        <v>1208400000000</v>
      </c>
      <c r="D254">
        <f t="shared" si="34"/>
        <v>12.4</v>
      </c>
      <c r="E254" s="1">
        <f t="shared" si="33"/>
        <v>124000</v>
      </c>
      <c r="F254" s="1">
        <f t="shared" si="36"/>
        <v>9920161.2903225813</v>
      </c>
      <c r="G254" s="1">
        <f t="shared" si="37"/>
        <v>4960080.6451612907</v>
      </c>
      <c r="H254" s="1">
        <f t="shared" si="38"/>
        <v>1984032.2580645161</v>
      </c>
      <c r="I254" s="1">
        <f t="shared" si="39"/>
        <v>992016.12903225806</v>
      </c>
      <c r="J254" s="1">
        <f t="shared" si="40"/>
        <v>661344.08602150541</v>
      </c>
      <c r="K254" s="1">
        <f t="shared" si="41"/>
        <v>330672.04301075271</v>
      </c>
      <c r="L254" s="1">
        <f t="shared" si="42"/>
        <v>99201.612903225803</v>
      </c>
      <c r="M254">
        <f t="shared" si="35"/>
        <v>615000000</v>
      </c>
      <c r="N254" s="7"/>
    </row>
    <row r="255" spans="1:14" x14ac:dyDescent="0.25">
      <c r="A255">
        <f t="shared" si="43"/>
        <v>254</v>
      </c>
      <c r="B255" s="1">
        <v>36372700000000</v>
      </c>
      <c r="C255" s="1">
        <v>1230100000000</v>
      </c>
      <c r="D255">
        <f t="shared" si="34"/>
        <v>12.52</v>
      </c>
      <c r="E255" s="1">
        <f t="shared" si="33"/>
        <v>125200</v>
      </c>
      <c r="F255" s="1">
        <f t="shared" si="36"/>
        <v>9998402.5559105426</v>
      </c>
      <c r="G255" s="1">
        <f t="shared" si="37"/>
        <v>4999201.2779552713</v>
      </c>
      <c r="H255" s="1">
        <f t="shared" si="38"/>
        <v>1999680.5111821087</v>
      </c>
      <c r="I255" s="1">
        <f t="shared" si="39"/>
        <v>999840.25559105433</v>
      </c>
      <c r="J255" s="1">
        <f t="shared" si="40"/>
        <v>666560.17039403622</v>
      </c>
      <c r="K255" s="1">
        <f t="shared" si="41"/>
        <v>333280.08519701811</v>
      </c>
      <c r="L255" s="1">
        <f t="shared" si="42"/>
        <v>99984.02555910543</v>
      </c>
      <c r="M255">
        <f t="shared" si="35"/>
        <v>626000000</v>
      </c>
      <c r="N255" s="7"/>
    </row>
    <row r="256" spans="1:14" x14ac:dyDescent="0.25">
      <c r="A256">
        <f t="shared" si="43"/>
        <v>255</v>
      </c>
      <c r="B256" s="1">
        <v>37624500000000</v>
      </c>
      <c r="C256" s="1">
        <v>1251800000000</v>
      </c>
      <c r="D256">
        <f t="shared" si="34"/>
        <v>12.65</v>
      </c>
      <c r="E256" s="1">
        <f t="shared" si="33"/>
        <v>126500</v>
      </c>
      <c r="F256" s="1">
        <f t="shared" si="36"/>
        <v>10067193.675889328</v>
      </c>
      <c r="G256" s="1">
        <f t="shared" si="37"/>
        <v>5033596.8379446641</v>
      </c>
      <c r="H256" s="1">
        <f t="shared" si="38"/>
        <v>2013438.7351778657</v>
      </c>
      <c r="I256" s="1">
        <f t="shared" si="39"/>
        <v>1006719.3675889329</v>
      </c>
      <c r="J256" s="1">
        <f t="shared" si="40"/>
        <v>671146.24505928857</v>
      </c>
      <c r="K256" s="1">
        <f t="shared" si="41"/>
        <v>335573.12252964429</v>
      </c>
      <c r="L256" s="1">
        <f t="shared" si="42"/>
        <v>100671.93675889328</v>
      </c>
      <c r="M256">
        <f t="shared" si="35"/>
        <v>637000000</v>
      </c>
      <c r="N256" s="7"/>
    </row>
    <row r="257" spans="1:14" x14ac:dyDescent="0.25">
      <c r="A257">
        <f t="shared" si="43"/>
        <v>256</v>
      </c>
      <c r="B257" s="1">
        <v>38898000000000</v>
      </c>
      <c r="C257" s="1">
        <v>1273500000000</v>
      </c>
      <c r="D257">
        <f t="shared" si="34"/>
        <v>12.77</v>
      </c>
      <c r="E257" s="1">
        <f t="shared" si="33"/>
        <v>127700</v>
      </c>
      <c r="F257" s="1">
        <f t="shared" si="36"/>
        <v>10142521.534847299</v>
      </c>
      <c r="G257" s="1">
        <f t="shared" si="37"/>
        <v>5071260.7674236493</v>
      </c>
      <c r="H257" s="1">
        <f t="shared" si="38"/>
        <v>2028504.3069694596</v>
      </c>
      <c r="I257" s="1">
        <f t="shared" si="39"/>
        <v>1014252.1534847298</v>
      </c>
      <c r="J257" s="1">
        <f t="shared" si="40"/>
        <v>676168.10232315317</v>
      </c>
      <c r="K257" s="1">
        <f t="shared" si="41"/>
        <v>338084.05116157659</v>
      </c>
      <c r="L257" s="1">
        <f t="shared" si="42"/>
        <v>101425.21534847298</v>
      </c>
      <c r="M257">
        <f t="shared" si="35"/>
        <v>648000000</v>
      </c>
      <c r="N257" s="7"/>
    </row>
    <row r="258" spans="1:14" x14ac:dyDescent="0.25">
      <c r="A258">
        <f t="shared" si="43"/>
        <v>257</v>
      </c>
      <c r="B258" s="1">
        <v>40193200000000</v>
      </c>
      <c r="C258" s="1">
        <v>1295200000000</v>
      </c>
      <c r="D258">
        <f t="shared" si="34"/>
        <v>12.9</v>
      </c>
      <c r="E258" s="1">
        <f t="shared" ref="E258:E321" si="44">+D258*10000</f>
        <v>129000</v>
      </c>
      <c r="F258" s="1">
        <f t="shared" si="36"/>
        <v>10208527.131782945</v>
      </c>
      <c r="G258" s="1">
        <f t="shared" si="37"/>
        <v>5104263.5658914726</v>
      </c>
      <c r="H258" s="1">
        <f t="shared" si="38"/>
        <v>2041705.4263565892</v>
      </c>
      <c r="I258" s="1">
        <f t="shared" si="39"/>
        <v>1020852.7131782946</v>
      </c>
      <c r="J258" s="1">
        <f t="shared" si="40"/>
        <v>680568.47545219644</v>
      </c>
      <c r="K258" s="1">
        <f t="shared" si="41"/>
        <v>340284.23772609822</v>
      </c>
      <c r="L258" s="1">
        <f t="shared" si="42"/>
        <v>102085.27131782945</v>
      </c>
      <c r="M258">
        <f t="shared" si="35"/>
        <v>658000000</v>
      </c>
      <c r="N258" s="7"/>
    </row>
    <row r="259" spans="1:14" x14ac:dyDescent="0.25">
      <c r="A259">
        <f t="shared" si="43"/>
        <v>258</v>
      </c>
      <c r="B259" s="1">
        <v>41510100000000</v>
      </c>
      <c r="C259" s="1">
        <v>1316900000000</v>
      </c>
      <c r="D259">
        <f t="shared" ref="D259:D322" si="45">ROUND(1.01^A259,2)</f>
        <v>13.03</v>
      </c>
      <c r="E259" s="1">
        <f t="shared" si="44"/>
        <v>130300</v>
      </c>
      <c r="F259" s="1">
        <f t="shared" si="36"/>
        <v>10273215.65617805</v>
      </c>
      <c r="G259" s="1">
        <f t="shared" si="37"/>
        <v>5136607.8280890249</v>
      </c>
      <c r="H259" s="1">
        <f t="shared" si="38"/>
        <v>2054643.1312356102</v>
      </c>
      <c r="I259" s="1">
        <f t="shared" si="39"/>
        <v>1027321.5656178051</v>
      </c>
      <c r="J259" s="1">
        <f t="shared" si="40"/>
        <v>684881.04374520341</v>
      </c>
      <c r="K259" s="1">
        <f t="shared" si="41"/>
        <v>342440.5218726017</v>
      </c>
      <c r="L259" s="1">
        <f t="shared" si="42"/>
        <v>102732.1565617805</v>
      </c>
      <c r="M259">
        <f t="shared" ref="M259:M322" si="46">ROUND(MAX(E260*6.3*10%,C260*0.05%),-MAX(2,INT(LOG10(MAX(E260*6.3*10%,C260*0.05%)))-2))</f>
        <v>669000000</v>
      </c>
      <c r="N259" s="7"/>
    </row>
    <row r="260" spans="1:14" x14ac:dyDescent="0.25">
      <c r="A260">
        <f t="shared" si="43"/>
        <v>259</v>
      </c>
      <c r="B260" s="1">
        <v>42848700000000</v>
      </c>
      <c r="C260" s="1">
        <v>1338600000000</v>
      </c>
      <c r="D260">
        <f t="shared" si="45"/>
        <v>13.16</v>
      </c>
      <c r="E260" s="1">
        <f t="shared" si="44"/>
        <v>131600</v>
      </c>
      <c r="F260" s="1">
        <f t="shared" ref="F260:F323" si="47">$C261/($E260*1)</f>
        <v>10336626.139817629</v>
      </c>
      <c r="G260" s="1">
        <f t="shared" ref="G260:G323" si="48">$C261/($E260*2)</f>
        <v>5168313.0699088145</v>
      </c>
      <c r="H260" s="1">
        <f t="shared" ref="H260:H323" si="49">$C261/($E260*5)</f>
        <v>2067325.2279635258</v>
      </c>
      <c r="I260" s="1">
        <f t="shared" ref="I260:I323" si="50">$C261/($E260*10)</f>
        <v>1033662.6139817629</v>
      </c>
      <c r="J260" s="1">
        <f t="shared" ref="J260:J323" si="51">$C261/($E260*15)</f>
        <v>689108.40932117531</v>
      </c>
      <c r="K260" s="1">
        <f t="shared" ref="K260:K323" si="52">$C261/($E260*30)</f>
        <v>344554.20466058765</v>
      </c>
      <c r="L260" s="1">
        <f t="shared" ref="L260:L323" si="53">$C261/($E260*100)</f>
        <v>103366.2613981763</v>
      </c>
      <c r="M260">
        <f t="shared" si="46"/>
        <v>680000000</v>
      </c>
      <c r="N260" s="7"/>
    </row>
    <row r="261" spans="1:14" x14ac:dyDescent="0.25">
      <c r="A261">
        <f t="shared" ref="A261:A324" si="54">+A260+1</f>
        <v>260</v>
      </c>
      <c r="B261" s="1">
        <v>44209000000000</v>
      </c>
      <c r="C261" s="1">
        <v>1360300000000</v>
      </c>
      <c r="D261">
        <f t="shared" si="45"/>
        <v>13.29</v>
      </c>
      <c r="E261" s="1">
        <f t="shared" si="44"/>
        <v>132900</v>
      </c>
      <c r="F261" s="1">
        <f t="shared" si="47"/>
        <v>10398796.087283673</v>
      </c>
      <c r="G261" s="1">
        <f t="shared" si="48"/>
        <v>5199398.0436418364</v>
      </c>
      <c r="H261" s="1">
        <f t="shared" si="49"/>
        <v>2079759.2174567343</v>
      </c>
      <c r="I261" s="1">
        <f t="shared" si="50"/>
        <v>1039879.6087283671</v>
      </c>
      <c r="J261" s="1">
        <f t="shared" si="51"/>
        <v>693253.07248557813</v>
      </c>
      <c r="K261" s="1">
        <f t="shared" si="52"/>
        <v>346626.53624278906</v>
      </c>
      <c r="L261" s="1">
        <f t="shared" si="53"/>
        <v>103987.96087283672</v>
      </c>
      <c r="M261">
        <f t="shared" si="46"/>
        <v>691000000</v>
      </c>
      <c r="N261" s="7"/>
    </row>
    <row r="262" spans="1:14" x14ac:dyDescent="0.25">
      <c r="A262">
        <f t="shared" si="54"/>
        <v>261</v>
      </c>
      <c r="B262" s="1">
        <v>45591000000000</v>
      </c>
      <c r="C262" s="1">
        <v>1382000000000</v>
      </c>
      <c r="D262">
        <f t="shared" si="45"/>
        <v>13.42</v>
      </c>
      <c r="E262" s="1">
        <f t="shared" si="44"/>
        <v>134200</v>
      </c>
      <c r="F262" s="1">
        <f t="shared" si="47"/>
        <v>10459761.549925484</v>
      </c>
      <c r="G262" s="1">
        <f t="shared" si="48"/>
        <v>5229880.7749627419</v>
      </c>
      <c r="H262" s="1">
        <f t="shared" si="49"/>
        <v>2091952.3099850968</v>
      </c>
      <c r="I262" s="1">
        <f t="shared" si="50"/>
        <v>1045976.1549925484</v>
      </c>
      <c r="J262" s="1">
        <f t="shared" si="51"/>
        <v>697317.43666169897</v>
      </c>
      <c r="K262" s="1">
        <f t="shared" si="52"/>
        <v>348658.71833084949</v>
      </c>
      <c r="L262" s="1">
        <f t="shared" si="53"/>
        <v>104597.61549925484</v>
      </c>
      <c r="M262">
        <f t="shared" si="46"/>
        <v>702000000</v>
      </c>
      <c r="N262" s="7"/>
    </row>
    <row r="263" spans="1:14" x14ac:dyDescent="0.25">
      <c r="A263">
        <f t="shared" si="54"/>
        <v>262</v>
      </c>
      <c r="B263" s="1">
        <v>46994700000000</v>
      </c>
      <c r="C263" s="1">
        <v>1403700000000</v>
      </c>
      <c r="D263">
        <f t="shared" si="45"/>
        <v>13.56</v>
      </c>
      <c r="E263" s="1">
        <f t="shared" si="44"/>
        <v>135600</v>
      </c>
      <c r="F263" s="1">
        <f t="shared" si="47"/>
        <v>10511799.410029499</v>
      </c>
      <c r="G263" s="1">
        <f t="shared" si="48"/>
        <v>5255899.7050147494</v>
      </c>
      <c r="H263" s="1">
        <f t="shared" si="49"/>
        <v>2102359.8820058997</v>
      </c>
      <c r="I263" s="1">
        <f t="shared" si="50"/>
        <v>1051179.9410029498</v>
      </c>
      <c r="J263" s="1">
        <f t="shared" si="51"/>
        <v>700786.62733529985</v>
      </c>
      <c r="K263" s="1">
        <f t="shared" si="52"/>
        <v>350393.31366764993</v>
      </c>
      <c r="L263" s="1">
        <f t="shared" si="53"/>
        <v>105117.99410029498</v>
      </c>
      <c r="M263">
        <f t="shared" si="46"/>
        <v>713000000</v>
      </c>
      <c r="N263" s="7"/>
    </row>
    <row r="264" spans="1:14" x14ac:dyDescent="0.25">
      <c r="A264">
        <f t="shared" si="54"/>
        <v>263</v>
      </c>
      <c r="B264" s="1">
        <v>48420100000000</v>
      </c>
      <c r="C264" s="1">
        <v>1425400000000</v>
      </c>
      <c r="D264">
        <f t="shared" si="45"/>
        <v>13.69</v>
      </c>
      <c r="E264" s="1">
        <f t="shared" si="44"/>
        <v>136900</v>
      </c>
      <c r="F264" s="1">
        <f t="shared" si="47"/>
        <v>10570489.408327246</v>
      </c>
      <c r="G264" s="1">
        <f t="shared" si="48"/>
        <v>5285244.704163623</v>
      </c>
      <c r="H264" s="1">
        <f t="shared" si="49"/>
        <v>2114097.8816654491</v>
      </c>
      <c r="I264" s="1">
        <f t="shared" si="50"/>
        <v>1057048.9408327246</v>
      </c>
      <c r="J264" s="1">
        <f t="shared" si="51"/>
        <v>704699.29388848308</v>
      </c>
      <c r="K264" s="1">
        <f t="shared" si="52"/>
        <v>352349.64694424154</v>
      </c>
      <c r="L264" s="1">
        <f t="shared" si="53"/>
        <v>105704.89408327246</v>
      </c>
      <c r="M264">
        <f t="shared" si="46"/>
        <v>724000000</v>
      </c>
      <c r="N264" s="7"/>
    </row>
    <row r="265" spans="1:14" x14ac:dyDescent="0.25">
      <c r="A265">
        <f t="shared" si="54"/>
        <v>264</v>
      </c>
      <c r="B265" s="1">
        <v>49867200000000</v>
      </c>
      <c r="C265" s="1">
        <v>1447100000000</v>
      </c>
      <c r="D265">
        <f t="shared" si="45"/>
        <v>13.83</v>
      </c>
      <c r="E265" s="1">
        <f t="shared" si="44"/>
        <v>138300</v>
      </c>
      <c r="F265" s="1">
        <f t="shared" si="47"/>
        <v>10620390.455531454</v>
      </c>
      <c r="G265" s="1">
        <f t="shared" si="48"/>
        <v>5310195.2277657269</v>
      </c>
      <c r="H265" s="1">
        <f t="shared" si="49"/>
        <v>2124078.0911062905</v>
      </c>
      <c r="I265" s="1">
        <f t="shared" si="50"/>
        <v>1062039.0455531452</v>
      </c>
      <c r="J265" s="1">
        <f t="shared" si="51"/>
        <v>708026.0303687636</v>
      </c>
      <c r="K265" s="1">
        <f t="shared" si="52"/>
        <v>354013.0151843818</v>
      </c>
      <c r="L265" s="1">
        <f t="shared" si="53"/>
        <v>106203.90455531454</v>
      </c>
      <c r="M265">
        <f t="shared" si="46"/>
        <v>734000000</v>
      </c>
      <c r="N265" s="7"/>
    </row>
    <row r="266" spans="1:14" x14ac:dyDescent="0.25">
      <c r="A266">
        <f t="shared" si="54"/>
        <v>265</v>
      </c>
      <c r="B266" s="1">
        <v>51336000000000</v>
      </c>
      <c r="C266" s="1">
        <v>1468800000000</v>
      </c>
      <c r="D266">
        <f t="shared" si="45"/>
        <v>13.97</v>
      </c>
      <c r="E266" s="1">
        <f t="shared" si="44"/>
        <v>139700</v>
      </c>
      <c r="F266" s="1">
        <f t="shared" si="47"/>
        <v>10669291.338582678</v>
      </c>
      <c r="G266" s="1">
        <f t="shared" si="48"/>
        <v>5334645.6692913389</v>
      </c>
      <c r="H266" s="1">
        <f t="shared" si="49"/>
        <v>2133858.2677165354</v>
      </c>
      <c r="I266" s="1">
        <f t="shared" si="50"/>
        <v>1066929.1338582677</v>
      </c>
      <c r="J266" s="1">
        <f t="shared" si="51"/>
        <v>711286.08923884516</v>
      </c>
      <c r="K266" s="1">
        <f t="shared" si="52"/>
        <v>355643.04461942258</v>
      </c>
      <c r="L266" s="1">
        <f t="shared" si="53"/>
        <v>106692.91338582677</v>
      </c>
      <c r="M266">
        <f t="shared" si="46"/>
        <v>745000000</v>
      </c>
      <c r="N266" s="7"/>
    </row>
    <row r="267" spans="1:14" x14ac:dyDescent="0.25">
      <c r="A267">
        <f t="shared" si="54"/>
        <v>266</v>
      </c>
      <c r="B267" s="1">
        <v>52826500000000</v>
      </c>
      <c r="C267" s="1">
        <v>1490500000000</v>
      </c>
      <c r="D267">
        <f t="shared" si="45"/>
        <v>14.11</v>
      </c>
      <c r="E267" s="1">
        <f t="shared" si="44"/>
        <v>141100</v>
      </c>
      <c r="F267" s="1">
        <f t="shared" si="47"/>
        <v>10717221.828490432</v>
      </c>
      <c r="G267" s="1">
        <f t="shared" si="48"/>
        <v>5358610.9142452162</v>
      </c>
      <c r="H267" s="1">
        <f t="shared" si="49"/>
        <v>2143444.3656980866</v>
      </c>
      <c r="I267" s="1">
        <f t="shared" si="50"/>
        <v>1071722.1828490433</v>
      </c>
      <c r="J267" s="1">
        <f t="shared" si="51"/>
        <v>714481.45523269544</v>
      </c>
      <c r="K267" s="1">
        <f t="shared" si="52"/>
        <v>357240.72761634772</v>
      </c>
      <c r="L267" s="1">
        <f t="shared" si="53"/>
        <v>107172.21828490432</v>
      </c>
      <c r="M267">
        <f t="shared" si="46"/>
        <v>756000000</v>
      </c>
      <c r="N267" s="7"/>
    </row>
    <row r="268" spans="1:14" x14ac:dyDescent="0.25">
      <c r="A268">
        <f t="shared" si="54"/>
        <v>267</v>
      </c>
      <c r="B268" s="1">
        <v>54338700000000</v>
      </c>
      <c r="C268" s="1">
        <v>1512200000000</v>
      </c>
      <c r="D268">
        <f t="shared" si="45"/>
        <v>14.25</v>
      </c>
      <c r="E268" s="1">
        <f t="shared" si="44"/>
        <v>142500</v>
      </c>
      <c r="F268" s="1">
        <f t="shared" si="47"/>
        <v>10764210.52631579</v>
      </c>
      <c r="G268" s="1">
        <f t="shared" si="48"/>
        <v>5382105.2631578948</v>
      </c>
      <c r="H268" s="1">
        <f t="shared" si="49"/>
        <v>2152842.1052631577</v>
      </c>
      <c r="I268" s="1">
        <f t="shared" si="50"/>
        <v>1076421.0526315789</v>
      </c>
      <c r="J268" s="1">
        <f t="shared" si="51"/>
        <v>717614.03508771933</v>
      </c>
      <c r="K268" s="1">
        <f t="shared" si="52"/>
        <v>358807.01754385966</v>
      </c>
      <c r="L268" s="1">
        <f t="shared" si="53"/>
        <v>107642.10526315789</v>
      </c>
      <c r="M268">
        <f t="shared" si="46"/>
        <v>767000000</v>
      </c>
      <c r="N268" s="7"/>
    </row>
    <row r="269" spans="1:14" x14ac:dyDescent="0.25">
      <c r="A269">
        <f t="shared" si="54"/>
        <v>268</v>
      </c>
      <c r="B269" s="1">
        <v>55872600000000</v>
      </c>
      <c r="C269" s="1">
        <v>1533900000000</v>
      </c>
      <c r="D269">
        <f t="shared" si="45"/>
        <v>14.39</v>
      </c>
      <c r="E269" s="1">
        <f t="shared" si="44"/>
        <v>143900</v>
      </c>
      <c r="F269" s="1">
        <f t="shared" si="47"/>
        <v>10810284.920083391</v>
      </c>
      <c r="G269" s="1">
        <f t="shared" si="48"/>
        <v>5405142.4600416953</v>
      </c>
      <c r="H269" s="1">
        <f t="shared" si="49"/>
        <v>2162056.9840166783</v>
      </c>
      <c r="I269" s="1">
        <f t="shared" si="50"/>
        <v>1081028.4920083391</v>
      </c>
      <c r="J269" s="1">
        <f t="shared" si="51"/>
        <v>720685.66133889277</v>
      </c>
      <c r="K269" s="1">
        <f t="shared" si="52"/>
        <v>360342.83066944638</v>
      </c>
      <c r="L269" s="1">
        <f t="shared" si="53"/>
        <v>108102.84920083391</v>
      </c>
      <c r="M269">
        <f t="shared" si="46"/>
        <v>778000000</v>
      </c>
      <c r="N269" s="7"/>
    </row>
    <row r="270" spans="1:14" x14ac:dyDescent="0.25">
      <c r="A270">
        <f t="shared" si="54"/>
        <v>269</v>
      </c>
      <c r="B270" s="1">
        <v>57428200000000</v>
      </c>
      <c r="C270" s="1">
        <v>1555600000000</v>
      </c>
      <c r="D270">
        <f t="shared" si="45"/>
        <v>14.54</v>
      </c>
      <c r="E270" s="1">
        <f t="shared" si="44"/>
        <v>145400</v>
      </c>
      <c r="F270" s="1">
        <f t="shared" si="47"/>
        <v>10848005.502063274</v>
      </c>
      <c r="G270" s="1">
        <f t="shared" si="48"/>
        <v>5424002.7510316372</v>
      </c>
      <c r="H270" s="1">
        <f t="shared" si="49"/>
        <v>2169601.1004126547</v>
      </c>
      <c r="I270" s="1">
        <f t="shared" si="50"/>
        <v>1084800.5502063273</v>
      </c>
      <c r="J270" s="1">
        <f t="shared" si="51"/>
        <v>723200.36680421827</v>
      </c>
      <c r="K270" s="1">
        <f t="shared" si="52"/>
        <v>361600.18340210913</v>
      </c>
      <c r="L270" s="1">
        <f t="shared" si="53"/>
        <v>108480.05502063273</v>
      </c>
      <c r="M270">
        <f t="shared" si="46"/>
        <v>789000000</v>
      </c>
      <c r="N270" s="7"/>
    </row>
    <row r="271" spans="1:14" x14ac:dyDescent="0.25">
      <c r="A271">
        <f t="shared" si="54"/>
        <v>270</v>
      </c>
      <c r="B271" s="1">
        <v>59005500000000</v>
      </c>
      <c r="C271" s="1">
        <v>1577300000000</v>
      </c>
      <c r="D271">
        <f t="shared" si="45"/>
        <v>14.68</v>
      </c>
      <c r="E271" s="1">
        <f t="shared" si="44"/>
        <v>146800</v>
      </c>
      <c r="F271" s="1">
        <f t="shared" si="47"/>
        <v>10892370.572207084</v>
      </c>
      <c r="G271" s="1">
        <f t="shared" si="48"/>
        <v>5446185.286103542</v>
      </c>
      <c r="H271" s="1">
        <f t="shared" si="49"/>
        <v>2178474.1144414167</v>
      </c>
      <c r="I271" s="1">
        <f t="shared" si="50"/>
        <v>1089237.0572207083</v>
      </c>
      <c r="J271" s="1">
        <f t="shared" si="51"/>
        <v>726158.03814713901</v>
      </c>
      <c r="K271" s="1">
        <f t="shared" si="52"/>
        <v>363079.01907356951</v>
      </c>
      <c r="L271" s="1">
        <f t="shared" si="53"/>
        <v>108923.70572207084</v>
      </c>
      <c r="M271">
        <f t="shared" si="46"/>
        <v>800000000</v>
      </c>
      <c r="N271" s="7"/>
    </row>
    <row r="272" spans="1:14" x14ac:dyDescent="0.25">
      <c r="A272">
        <f t="shared" si="54"/>
        <v>271</v>
      </c>
      <c r="B272" s="1">
        <v>60604500000000</v>
      </c>
      <c r="C272" s="1">
        <v>1599000000000</v>
      </c>
      <c r="D272">
        <f t="shared" si="45"/>
        <v>14.83</v>
      </c>
      <c r="E272" s="1">
        <f t="shared" si="44"/>
        <v>148300</v>
      </c>
      <c r="F272" s="1">
        <f t="shared" si="47"/>
        <v>10928523.263654754</v>
      </c>
      <c r="G272" s="1">
        <f t="shared" si="48"/>
        <v>5464261.6318273768</v>
      </c>
      <c r="H272" s="1">
        <f t="shared" si="49"/>
        <v>2185704.6527309506</v>
      </c>
      <c r="I272" s="1">
        <f t="shared" si="50"/>
        <v>1092852.3263654753</v>
      </c>
      <c r="J272" s="1">
        <f t="shared" si="51"/>
        <v>728568.21757698362</v>
      </c>
      <c r="K272" s="1">
        <f t="shared" si="52"/>
        <v>364284.10878849181</v>
      </c>
      <c r="L272" s="1">
        <f t="shared" si="53"/>
        <v>109285.23263654755</v>
      </c>
      <c r="M272">
        <f t="shared" si="46"/>
        <v>810000000</v>
      </c>
      <c r="N272" s="7"/>
    </row>
    <row r="273" spans="1:14" x14ac:dyDescent="0.25">
      <c r="A273">
        <f t="shared" si="54"/>
        <v>272</v>
      </c>
      <c r="B273" s="1">
        <v>62225200000000</v>
      </c>
      <c r="C273" s="1">
        <v>1620700000000</v>
      </c>
      <c r="D273">
        <f t="shared" si="45"/>
        <v>14.98</v>
      </c>
      <c r="E273" s="1">
        <f t="shared" si="44"/>
        <v>149800</v>
      </c>
      <c r="F273" s="1">
        <f t="shared" si="47"/>
        <v>10963951.935914552</v>
      </c>
      <c r="G273" s="1">
        <f t="shared" si="48"/>
        <v>5481975.9679572759</v>
      </c>
      <c r="H273" s="1">
        <f t="shared" si="49"/>
        <v>2192790.3871829105</v>
      </c>
      <c r="I273" s="1">
        <f t="shared" si="50"/>
        <v>1096395.1935914552</v>
      </c>
      <c r="J273" s="1">
        <f t="shared" si="51"/>
        <v>730930.12906097015</v>
      </c>
      <c r="K273" s="1">
        <f t="shared" si="52"/>
        <v>365465.06453048508</v>
      </c>
      <c r="L273" s="1">
        <f t="shared" si="53"/>
        <v>109639.51935914553</v>
      </c>
      <c r="M273">
        <f t="shared" si="46"/>
        <v>821000000</v>
      </c>
      <c r="N273" s="7"/>
    </row>
    <row r="274" spans="1:14" x14ac:dyDescent="0.25">
      <c r="A274">
        <f t="shared" si="54"/>
        <v>273</v>
      </c>
      <c r="B274" s="1">
        <v>63867600000000</v>
      </c>
      <c r="C274" s="1">
        <v>1642400000000</v>
      </c>
      <c r="D274">
        <f t="shared" si="45"/>
        <v>15.13</v>
      </c>
      <c r="E274" s="1">
        <f t="shared" si="44"/>
        <v>151300</v>
      </c>
      <c r="F274" s="1">
        <f t="shared" si="47"/>
        <v>10998678.122934567</v>
      </c>
      <c r="G274" s="1">
        <f t="shared" si="48"/>
        <v>5499339.0614672834</v>
      </c>
      <c r="H274" s="1">
        <f t="shared" si="49"/>
        <v>2199735.6245869133</v>
      </c>
      <c r="I274" s="1">
        <f t="shared" si="50"/>
        <v>1099867.8122934566</v>
      </c>
      <c r="J274" s="1">
        <f t="shared" si="51"/>
        <v>733245.2081956378</v>
      </c>
      <c r="K274" s="1">
        <f t="shared" si="52"/>
        <v>366622.6040978189</v>
      </c>
      <c r="L274" s="1">
        <f t="shared" si="53"/>
        <v>109986.78122934567</v>
      </c>
      <c r="M274">
        <f t="shared" si="46"/>
        <v>832000000</v>
      </c>
      <c r="N274" s="7"/>
    </row>
    <row r="275" spans="1:14" x14ac:dyDescent="0.25">
      <c r="A275">
        <f t="shared" si="54"/>
        <v>274</v>
      </c>
      <c r="B275" s="1">
        <v>65531700000000</v>
      </c>
      <c r="C275" s="1">
        <v>1664100000000</v>
      </c>
      <c r="D275">
        <f t="shared" si="45"/>
        <v>15.28</v>
      </c>
      <c r="E275" s="1">
        <f t="shared" si="44"/>
        <v>152800</v>
      </c>
      <c r="F275" s="1">
        <f t="shared" si="47"/>
        <v>11032722.513089005</v>
      </c>
      <c r="G275" s="1">
        <f t="shared" si="48"/>
        <v>5516361.2565445025</v>
      </c>
      <c r="H275" s="1">
        <f t="shared" si="49"/>
        <v>2206544.5026178011</v>
      </c>
      <c r="I275" s="1">
        <f t="shared" si="50"/>
        <v>1103272.2513089005</v>
      </c>
      <c r="J275" s="1">
        <f t="shared" si="51"/>
        <v>735514.83420593373</v>
      </c>
      <c r="K275" s="1">
        <f t="shared" si="52"/>
        <v>367757.41710296687</v>
      </c>
      <c r="L275" s="1">
        <f t="shared" si="53"/>
        <v>110327.22513089006</v>
      </c>
      <c r="M275">
        <f t="shared" si="46"/>
        <v>843000000</v>
      </c>
      <c r="N275" s="7"/>
    </row>
    <row r="276" spans="1:14" x14ac:dyDescent="0.25">
      <c r="A276">
        <f t="shared" si="54"/>
        <v>275</v>
      </c>
      <c r="B276" s="1">
        <v>67217500000000</v>
      </c>
      <c r="C276" s="1">
        <v>1685800000000</v>
      </c>
      <c r="D276">
        <f t="shared" si="45"/>
        <v>15.43</v>
      </c>
      <c r="E276" s="1">
        <f t="shared" si="44"/>
        <v>154300</v>
      </c>
      <c r="F276" s="1">
        <f t="shared" si="47"/>
        <v>11066104.990278678</v>
      </c>
      <c r="G276" s="1">
        <f t="shared" si="48"/>
        <v>5533052.495139339</v>
      </c>
      <c r="H276" s="1">
        <f t="shared" si="49"/>
        <v>2213220.9980557356</v>
      </c>
      <c r="I276" s="1">
        <f t="shared" si="50"/>
        <v>1106610.4990278678</v>
      </c>
      <c r="J276" s="1">
        <f t="shared" si="51"/>
        <v>737740.3326852452</v>
      </c>
      <c r="K276" s="1">
        <f t="shared" si="52"/>
        <v>368870.1663426226</v>
      </c>
      <c r="L276" s="1">
        <f t="shared" si="53"/>
        <v>110661.04990278678</v>
      </c>
      <c r="M276">
        <f t="shared" si="46"/>
        <v>854000000</v>
      </c>
      <c r="N276" s="7"/>
    </row>
    <row r="277" spans="1:14" x14ac:dyDescent="0.25">
      <c r="A277">
        <f t="shared" si="54"/>
        <v>276</v>
      </c>
      <c r="B277" s="1">
        <v>68925000000000</v>
      </c>
      <c r="C277" s="1">
        <v>1707500000000</v>
      </c>
      <c r="D277">
        <f t="shared" si="45"/>
        <v>15.58</v>
      </c>
      <c r="E277" s="1">
        <f t="shared" si="44"/>
        <v>155800</v>
      </c>
      <c r="F277" s="1">
        <f t="shared" si="47"/>
        <v>11098844.672657253</v>
      </c>
      <c r="G277" s="1">
        <f t="shared" si="48"/>
        <v>5549422.3363286266</v>
      </c>
      <c r="H277" s="1">
        <f t="shared" si="49"/>
        <v>2219768.9345314507</v>
      </c>
      <c r="I277" s="1">
        <f t="shared" si="50"/>
        <v>1109884.4672657254</v>
      </c>
      <c r="J277" s="1">
        <f t="shared" si="51"/>
        <v>739922.97817715025</v>
      </c>
      <c r="K277" s="1">
        <f t="shared" si="52"/>
        <v>369961.48908857512</v>
      </c>
      <c r="L277" s="1">
        <f t="shared" si="53"/>
        <v>110988.44672657253</v>
      </c>
      <c r="M277">
        <f t="shared" si="46"/>
        <v>865000000</v>
      </c>
      <c r="N277" s="7"/>
    </row>
    <row r="278" spans="1:14" x14ac:dyDescent="0.25">
      <c r="A278">
        <f t="shared" si="54"/>
        <v>277</v>
      </c>
      <c r="B278" s="1">
        <v>70654200000000</v>
      </c>
      <c r="C278" s="1">
        <v>1729200000000</v>
      </c>
      <c r="D278">
        <f t="shared" si="45"/>
        <v>15.74</v>
      </c>
      <c r="E278" s="1">
        <f t="shared" si="44"/>
        <v>157400</v>
      </c>
      <c r="F278" s="1">
        <f t="shared" si="47"/>
        <v>11123888.182973316</v>
      </c>
      <c r="G278" s="1">
        <f t="shared" si="48"/>
        <v>5561944.091486658</v>
      </c>
      <c r="H278" s="1">
        <f t="shared" si="49"/>
        <v>2224777.6365946634</v>
      </c>
      <c r="I278" s="1">
        <f t="shared" si="50"/>
        <v>1112388.8182973317</v>
      </c>
      <c r="J278" s="1">
        <f t="shared" si="51"/>
        <v>741592.54553155438</v>
      </c>
      <c r="K278" s="1">
        <f t="shared" si="52"/>
        <v>370796.27276577719</v>
      </c>
      <c r="L278" s="1">
        <f t="shared" si="53"/>
        <v>111238.88182973316</v>
      </c>
      <c r="M278">
        <f t="shared" si="46"/>
        <v>875000000</v>
      </c>
      <c r="N278" s="7"/>
    </row>
    <row r="279" spans="1:14" x14ac:dyDescent="0.25">
      <c r="A279">
        <f t="shared" si="54"/>
        <v>278</v>
      </c>
      <c r="B279" s="1">
        <v>72405100000000</v>
      </c>
      <c r="C279" s="1">
        <v>1750900000000</v>
      </c>
      <c r="D279">
        <f t="shared" si="45"/>
        <v>15.9</v>
      </c>
      <c r="E279" s="1">
        <f t="shared" si="44"/>
        <v>159000</v>
      </c>
      <c r="F279" s="1">
        <f t="shared" si="47"/>
        <v>11148427.672955975</v>
      </c>
      <c r="G279" s="1">
        <f t="shared" si="48"/>
        <v>5574213.8364779875</v>
      </c>
      <c r="H279" s="1">
        <f t="shared" si="49"/>
        <v>2229685.5345911952</v>
      </c>
      <c r="I279" s="1">
        <f t="shared" si="50"/>
        <v>1114842.7672955976</v>
      </c>
      <c r="J279" s="1">
        <f t="shared" si="51"/>
        <v>743228.51153039827</v>
      </c>
      <c r="K279" s="1">
        <f t="shared" si="52"/>
        <v>371614.25576519914</v>
      </c>
      <c r="L279" s="1">
        <f t="shared" si="53"/>
        <v>111484.27672955974</v>
      </c>
      <c r="M279">
        <f t="shared" si="46"/>
        <v>886000000</v>
      </c>
      <c r="N279" s="7"/>
    </row>
    <row r="280" spans="1:14" x14ac:dyDescent="0.25">
      <c r="A280">
        <f t="shared" si="54"/>
        <v>279</v>
      </c>
      <c r="B280" s="1">
        <v>74177700000000</v>
      </c>
      <c r="C280" s="1">
        <v>1772600000000</v>
      </c>
      <c r="D280">
        <f t="shared" si="45"/>
        <v>16.059999999999999</v>
      </c>
      <c r="E280" s="1">
        <f t="shared" si="44"/>
        <v>160600</v>
      </c>
      <c r="F280" s="1">
        <f t="shared" si="47"/>
        <v>11172478.206724782</v>
      </c>
      <c r="G280" s="1">
        <f t="shared" si="48"/>
        <v>5586239.1033623908</v>
      </c>
      <c r="H280" s="1">
        <f t="shared" si="49"/>
        <v>2234495.6413449566</v>
      </c>
      <c r="I280" s="1">
        <f t="shared" si="50"/>
        <v>1117247.8206724783</v>
      </c>
      <c r="J280" s="1">
        <f t="shared" si="51"/>
        <v>744831.88044831879</v>
      </c>
      <c r="K280" s="1">
        <f t="shared" si="52"/>
        <v>372415.94022415939</v>
      </c>
      <c r="L280" s="1">
        <f t="shared" si="53"/>
        <v>111724.78206724783</v>
      </c>
      <c r="M280">
        <f t="shared" si="46"/>
        <v>897000000</v>
      </c>
      <c r="N280" s="7"/>
    </row>
    <row r="281" spans="1:14" x14ac:dyDescent="0.25">
      <c r="A281">
        <f t="shared" si="54"/>
        <v>280</v>
      </c>
      <c r="B281" s="1">
        <v>75972000000000</v>
      </c>
      <c r="C281" s="1">
        <v>1794300000000</v>
      </c>
      <c r="D281">
        <f t="shared" si="45"/>
        <v>16.22</v>
      </c>
      <c r="E281" s="1">
        <f t="shared" si="44"/>
        <v>162200</v>
      </c>
      <c r="F281" s="1">
        <f t="shared" si="47"/>
        <v>11196054.254007399</v>
      </c>
      <c r="G281" s="1">
        <f t="shared" si="48"/>
        <v>5598027.1270036995</v>
      </c>
      <c r="H281" s="1">
        <f t="shared" si="49"/>
        <v>2239210.8508014795</v>
      </c>
      <c r="I281" s="1">
        <f t="shared" si="50"/>
        <v>1119605.4254007398</v>
      </c>
      <c r="J281" s="1">
        <f t="shared" si="51"/>
        <v>746403.61693382659</v>
      </c>
      <c r="K281" s="1">
        <f t="shared" si="52"/>
        <v>373201.80846691329</v>
      </c>
      <c r="L281" s="1">
        <f t="shared" si="53"/>
        <v>111960.54254007398</v>
      </c>
      <c r="M281">
        <f t="shared" si="46"/>
        <v>908000000</v>
      </c>
      <c r="N281" s="7"/>
    </row>
    <row r="282" spans="1:14" x14ac:dyDescent="0.25">
      <c r="A282">
        <f t="shared" si="54"/>
        <v>281</v>
      </c>
      <c r="B282" s="1">
        <v>77788000000000</v>
      </c>
      <c r="C282" s="1">
        <v>1816000000000</v>
      </c>
      <c r="D282">
        <f t="shared" si="45"/>
        <v>16.38</v>
      </c>
      <c r="E282" s="1">
        <f t="shared" si="44"/>
        <v>163800</v>
      </c>
      <c r="F282" s="1">
        <f t="shared" si="47"/>
        <v>11219169.719169719</v>
      </c>
      <c r="G282" s="1">
        <f t="shared" si="48"/>
        <v>5609584.8595848596</v>
      </c>
      <c r="H282" s="1">
        <f t="shared" si="49"/>
        <v>2243833.9438339439</v>
      </c>
      <c r="I282" s="1">
        <f t="shared" si="50"/>
        <v>1121916.971916972</v>
      </c>
      <c r="J282" s="1">
        <f t="shared" si="51"/>
        <v>747944.64794464794</v>
      </c>
      <c r="K282" s="1">
        <f t="shared" si="52"/>
        <v>373972.32397232397</v>
      </c>
      <c r="L282" s="1">
        <f t="shared" si="53"/>
        <v>112191.6971916972</v>
      </c>
      <c r="M282">
        <f t="shared" si="46"/>
        <v>919000000</v>
      </c>
      <c r="N282" s="7"/>
    </row>
    <row r="283" spans="1:14" x14ac:dyDescent="0.25">
      <c r="A283">
        <f t="shared" si="54"/>
        <v>282</v>
      </c>
      <c r="B283" s="1">
        <v>79625700000000</v>
      </c>
      <c r="C283" s="1">
        <v>1837700000000</v>
      </c>
      <c r="D283">
        <f t="shared" si="45"/>
        <v>16.54</v>
      </c>
      <c r="E283" s="1">
        <f t="shared" si="44"/>
        <v>165400</v>
      </c>
      <c r="F283" s="1">
        <f t="shared" si="47"/>
        <v>11241837.968561064</v>
      </c>
      <c r="G283" s="1">
        <f t="shared" si="48"/>
        <v>5620918.9842805322</v>
      </c>
      <c r="H283" s="1">
        <f t="shared" si="49"/>
        <v>2248367.593712213</v>
      </c>
      <c r="I283" s="1">
        <f t="shared" si="50"/>
        <v>1124183.7968561065</v>
      </c>
      <c r="J283" s="1">
        <f t="shared" si="51"/>
        <v>749455.86457073758</v>
      </c>
      <c r="K283" s="1">
        <f t="shared" si="52"/>
        <v>374727.93228536879</v>
      </c>
      <c r="L283" s="1">
        <f t="shared" si="53"/>
        <v>112418.37968561063</v>
      </c>
      <c r="M283">
        <f t="shared" si="46"/>
        <v>930000000</v>
      </c>
      <c r="N283" s="7"/>
    </row>
    <row r="284" spans="1:14" x14ac:dyDescent="0.25">
      <c r="A284">
        <f t="shared" si="54"/>
        <v>283</v>
      </c>
      <c r="B284" s="1">
        <v>81485100000000</v>
      </c>
      <c r="C284" s="1">
        <v>1859400000000</v>
      </c>
      <c r="D284">
        <f t="shared" si="45"/>
        <v>16.71</v>
      </c>
      <c r="E284" s="1">
        <f t="shared" si="44"/>
        <v>167100</v>
      </c>
      <c r="F284" s="1">
        <f t="shared" si="47"/>
        <v>11257330.939557152</v>
      </c>
      <c r="G284" s="1">
        <f t="shared" si="48"/>
        <v>5628665.4697785759</v>
      </c>
      <c r="H284" s="1">
        <f t="shared" si="49"/>
        <v>2251466.1879114304</v>
      </c>
      <c r="I284" s="1">
        <f t="shared" si="50"/>
        <v>1125733.0939557152</v>
      </c>
      <c r="J284" s="1">
        <f t="shared" si="51"/>
        <v>750488.72930381005</v>
      </c>
      <c r="K284" s="1">
        <f t="shared" si="52"/>
        <v>375244.36465190502</v>
      </c>
      <c r="L284" s="1">
        <f t="shared" si="53"/>
        <v>112573.30939557152</v>
      </c>
      <c r="M284">
        <f t="shared" si="46"/>
        <v>941000000</v>
      </c>
      <c r="N284" s="7"/>
    </row>
    <row r="285" spans="1:14" x14ac:dyDescent="0.25">
      <c r="A285">
        <f t="shared" si="54"/>
        <v>284</v>
      </c>
      <c r="B285" s="1">
        <v>83366200000000</v>
      </c>
      <c r="C285" s="1">
        <v>1881100000000</v>
      </c>
      <c r="D285">
        <f t="shared" si="45"/>
        <v>16.88</v>
      </c>
      <c r="E285" s="1">
        <f t="shared" si="44"/>
        <v>168800</v>
      </c>
      <c r="F285" s="1">
        <f t="shared" si="47"/>
        <v>11272511.848341232</v>
      </c>
      <c r="G285" s="1">
        <f t="shared" si="48"/>
        <v>5636255.9241706161</v>
      </c>
      <c r="H285" s="1">
        <f t="shared" si="49"/>
        <v>2254502.3696682462</v>
      </c>
      <c r="I285" s="1">
        <f t="shared" si="50"/>
        <v>1127251.1848341231</v>
      </c>
      <c r="J285" s="1">
        <f t="shared" si="51"/>
        <v>751500.78988941549</v>
      </c>
      <c r="K285" s="1">
        <f t="shared" si="52"/>
        <v>375750.39494470775</v>
      </c>
      <c r="L285" s="1">
        <f t="shared" si="53"/>
        <v>112725.11848341233</v>
      </c>
      <c r="M285">
        <f t="shared" si="46"/>
        <v>951000000</v>
      </c>
      <c r="N285" s="7"/>
    </row>
    <row r="286" spans="1:14" x14ac:dyDescent="0.25">
      <c r="A286">
        <f t="shared" si="54"/>
        <v>285</v>
      </c>
      <c r="B286" s="1">
        <v>85269000000000</v>
      </c>
      <c r="C286" s="1">
        <v>1902800000000</v>
      </c>
      <c r="D286">
        <f t="shared" si="45"/>
        <v>17.04</v>
      </c>
      <c r="E286" s="1">
        <f t="shared" si="44"/>
        <v>170400</v>
      </c>
      <c r="F286" s="1">
        <f t="shared" si="47"/>
        <v>11294014.084507043</v>
      </c>
      <c r="G286" s="1">
        <f t="shared" si="48"/>
        <v>5647007.0422535213</v>
      </c>
      <c r="H286" s="1">
        <f t="shared" si="49"/>
        <v>2258802.8169014086</v>
      </c>
      <c r="I286" s="1">
        <f t="shared" si="50"/>
        <v>1129401.4084507043</v>
      </c>
      <c r="J286" s="1">
        <f t="shared" si="51"/>
        <v>752934.27230046946</v>
      </c>
      <c r="K286" s="1">
        <f t="shared" si="52"/>
        <v>376467.13615023473</v>
      </c>
      <c r="L286" s="1">
        <f t="shared" si="53"/>
        <v>112940.14084507042</v>
      </c>
      <c r="M286">
        <f t="shared" si="46"/>
        <v>962000000</v>
      </c>
      <c r="N286" s="7"/>
    </row>
    <row r="287" spans="1:14" x14ac:dyDescent="0.25">
      <c r="A287">
        <f t="shared" si="54"/>
        <v>286</v>
      </c>
      <c r="B287" s="1">
        <v>87193500000000</v>
      </c>
      <c r="C287" s="1">
        <v>1924500000000</v>
      </c>
      <c r="D287">
        <f t="shared" si="45"/>
        <v>17.22</v>
      </c>
      <c r="E287" s="1">
        <f t="shared" si="44"/>
        <v>172200</v>
      </c>
      <c r="F287" s="1">
        <f t="shared" si="47"/>
        <v>11301974.448315911</v>
      </c>
      <c r="G287" s="1">
        <f t="shared" si="48"/>
        <v>5650987.2241579555</v>
      </c>
      <c r="H287" s="1">
        <f t="shared" si="49"/>
        <v>2260394.8896631822</v>
      </c>
      <c r="I287" s="1">
        <f t="shared" si="50"/>
        <v>1130197.4448315911</v>
      </c>
      <c r="J287" s="1">
        <f t="shared" si="51"/>
        <v>753464.96322106081</v>
      </c>
      <c r="K287" s="1">
        <f t="shared" si="52"/>
        <v>376732.48161053041</v>
      </c>
      <c r="L287" s="1">
        <f t="shared" si="53"/>
        <v>113019.74448315911</v>
      </c>
      <c r="M287">
        <f t="shared" si="46"/>
        <v>973000000</v>
      </c>
      <c r="N287" s="7"/>
    </row>
    <row r="288" spans="1:14" x14ac:dyDescent="0.25">
      <c r="A288">
        <f t="shared" si="54"/>
        <v>287</v>
      </c>
      <c r="B288" s="1">
        <v>89139700000000</v>
      </c>
      <c r="C288" s="1">
        <v>1946200000000</v>
      </c>
      <c r="D288">
        <f t="shared" si="45"/>
        <v>17.39</v>
      </c>
      <c r="E288" s="1">
        <f t="shared" si="44"/>
        <v>173900</v>
      </c>
      <c r="F288" s="1">
        <f t="shared" si="47"/>
        <v>11316273.72052904</v>
      </c>
      <c r="G288" s="1">
        <f t="shared" si="48"/>
        <v>5658136.8602645202</v>
      </c>
      <c r="H288" s="1">
        <f t="shared" si="49"/>
        <v>2263254.744105808</v>
      </c>
      <c r="I288" s="1">
        <f t="shared" si="50"/>
        <v>1131627.372052904</v>
      </c>
      <c r="J288" s="1">
        <f t="shared" si="51"/>
        <v>754418.24803526932</v>
      </c>
      <c r="K288" s="1">
        <f t="shared" si="52"/>
        <v>377209.12401763466</v>
      </c>
      <c r="L288" s="1">
        <f t="shared" si="53"/>
        <v>113162.7372052904</v>
      </c>
      <c r="M288">
        <f t="shared" si="46"/>
        <v>984000000</v>
      </c>
      <c r="N288" s="7"/>
    </row>
    <row r="289" spans="1:14" x14ac:dyDescent="0.25">
      <c r="A289">
        <f t="shared" si="54"/>
        <v>288</v>
      </c>
      <c r="B289" s="1">
        <v>91107600000000</v>
      </c>
      <c r="C289" s="1">
        <v>1967900000000</v>
      </c>
      <c r="D289">
        <f t="shared" si="45"/>
        <v>17.559999999999999</v>
      </c>
      <c r="E289" s="1">
        <f t="shared" si="44"/>
        <v>175600</v>
      </c>
      <c r="F289" s="1">
        <f t="shared" si="47"/>
        <v>11330296.127562642</v>
      </c>
      <c r="G289" s="1">
        <f t="shared" si="48"/>
        <v>5665148.063781321</v>
      </c>
      <c r="H289" s="1">
        <f t="shared" si="49"/>
        <v>2266059.2255125283</v>
      </c>
      <c r="I289" s="1">
        <f t="shared" si="50"/>
        <v>1133029.6127562642</v>
      </c>
      <c r="J289" s="1">
        <f t="shared" si="51"/>
        <v>755353.07517084281</v>
      </c>
      <c r="K289" s="1">
        <f t="shared" si="52"/>
        <v>377676.53758542141</v>
      </c>
      <c r="L289" s="1">
        <f t="shared" si="53"/>
        <v>113302.96127562643</v>
      </c>
      <c r="M289">
        <f t="shared" si="46"/>
        <v>995000000</v>
      </c>
      <c r="N289" s="7"/>
    </row>
    <row r="290" spans="1:14" x14ac:dyDescent="0.25">
      <c r="A290">
        <f t="shared" si="54"/>
        <v>289</v>
      </c>
      <c r="B290" s="1">
        <v>93097200000000</v>
      </c>
      <c r="C290" s="1">
        <v>1989600000000</v>
      </c>
      <c r="D290">
        <f t="shared" si="45"/>
        <v>17.739999999999998</v>
      </c>
      <c r="E290" s="1">
        <f t="shared" si="44"/>
        <v>177399.99999999997</v>
      </c>
      <c r="F290" s="1">
        <f t="shared" si="47"/>
        <v>11337655.016910937</v>
      </c>
      <c r="G290" s="1">
        <f t="shared" si="48"/>
        <v>5668827.5084554683</v>
      </c>
      <c r="H290" s="1">
        <f t="shared" si="49"/>
        <v>2267531.0033821873</v>
      </c>
      <c r="I290" s="1">
        <f t="shared" si="50"/>
        <v>1133765.5016910937</v>
      </c>
      <c r="J290" s="1">
        <f t="shared" si="51"/>
        <v>755843.66779406252</v>
      </c>
      <c r="K290" s="1">
        <f t="shared" si="52"/>
        <v>377921.83389703126</v>
      </c>
      <c r="L290" s="1">
        <f t="shared" si="53"/>
        <v>113376.55016910938</v>
      </c>
      <c r="M290">
        <f t="shared" si="46"/>
        <v>1010000000</v>
      </c>
      <c r="N290" s="7"/>
    </row>
    <row r="291" spans="1:14" x14ac:dyDescent="0.25">
      <c r="A291">
        <f t="shared" si="54"/>
        <v>290</v>
      </c>
      <c r="B291" s="1">
        <v>95108500000000</v>
      </c>
      <c r="C291" s="1">
        <v>2011300000000</v>
      </c>
      <c r="D291">
        <f t="shared" si="45"/>
        <v>17.91</v>
      </c>
      <c r="E291" s="1">
        <f t="shared" si="44"/>
        <v>179100</v>
      </c>
      <c r="F291" s="1">
        <f t="shared" si="47"/>
        <v>11351200.446677834</v>
      </c>
      <c r="G291" s="1">
        <f t="shared" si="48"/>
        <v>5675600.2233389169</v>
      </c>
      <c r="H291" s="1">
        <f t="shared" si="49"/>
        <v>2270240.0893355669</v>
      </c>
      <c r="I291" s="1">
        <f t="shared" si="50"/>
        <v>1135120.0446677834</v>
      </c>
      <c r="J291" s="1">
        <f t="shared" si="51"/>
        <v>756746.69644518895</v>
      </c>
      <c r="K291" s="1">
        <f t="shared" si="52"/>
        <v>378373.34822259448</v>
      </c>
      <c r="L291" s="1">
        <f t="shared" si="53"/>
        <v>113512.00446677834</v>
      </c>
      <c r="M291">
        <f t="shared" si="46"/>
        <v>1020000000</v>
      </c>
      <c r="N291" s="7"/>
    </row>
    <row r="292" spans="1:14" x14ac:dyDescent="0.25">
      <c r="A292">
        <f t="shared" si="54"/>
        <v>291</v>
      </c>
      <c r="B292" s="1">
        <v>97141500000000</v>
      </c>
      <c r="C292" s="1">
        <v>2033000000000</v>
      </c>
      <c r="D292">
        <f t="shared" si="45"/>
        <v>18.09</v>
      </c>
      <c r="E292" s="1">
        <f t="shared" si="44"/>
        <v>180900</v>
      </c>
      <c r="F292" s="1">
        <f t="shared" si="47"/>
        <v>11358208.955223881</v>
      </c>
      <c r="G292" s="1">
        <f t="shared" si="48"/>
        <v>5679104.4776119404</v>
      </c>
      <c r="H292" s="1">
        <f t="shared" si="49"/>
        <v>2271641.7910447763</v>
      </c>
      <c r="I292" s="1">
        <f t="shared" si="50"/>
        <v>1135820.8955223882</v>
      </c>
      <c r="J292" s="1">
        <f t="shared" si="51"/>
        <v>757213.9303482587</v>
      </c>
      <c r="K292" s="1">
        <f t="shared" si="52"/>
        <v>378606.96517412935</v>
      </c>
      <c r="L292" s="1">
        <f t="shared" si="53"/>
        <v>113582.0895522388</v>
      </c>
      <c r="M292">
        <f t="shared" si="46"/>
        <v>1030000000</v>
      </c>
      <c r="N292" s="7"/>
    </row>
    <row r="293" spans="1:14" x14ac:dyDescent="0.25">
      <c r="A293">
        <f t="shared" si="54"/>
        <v>292</v>
      </c>
      <c r="B293" s="1">
        <v>99196200000000</v>
      </c>
      <c r="C293" s="1">
        <v>2054700000000</v>
      </c>
      <c r="D293">
        <f t="shared" si="45"/>
        <v>18.27</v>
      </c>
      <c r="E293" s="1">
        <f t="shared" si="44"/>
        <v>182700</v>
      </c>
      <c r="F293" s="1">
        <f t="shared" si="47"/>
        <v>11365079.365079366</v>
      </c>
      <c r="G293" s="1">
        <f t="shared" si="48"/>
        <v>5682539.6825396828</v>
      </c>
      <c r="H293" s="1">
        <f t="shared" si="49"/>
        <v>2273015.8730158731</v>
      </c>
      <c r="I293" s="1">
        <f t="shared" si="50"/>
        <v>1136507.9365079366</v>
      </c>
      <c r="J293" s="1">
        <f t="shared" si="51"/>
        <v>757671.95767195767</v>
      </c>
      <c r="K293" s="1">
        <f t="shared" si="52"/>
        <v>378835.97883597884</v>
      </c>
      <c r="L293" s="1">
        <f t="shared" si="53"/>
        <v>113650.79365079365</v>
      </c>
      <c r="M293">
        <f t="shared" si="46"/>
        <v>1040000000</v>
      </c>
      <c r="N293" s="7"/>
    </row>
    <row r="294" spans="1:14" x14ac:dyDescent="0.25">
      <c r="A294">
        <f t="shared" si="54"/>
        <v>293</v>
      </c>
      <c r="B294" s="1">
        <v>101272600000000</v>
      </c>
      <c r="C294" s="1">
        <v>2076400000000</v>
      </c>
      <c r="D294">
        <f t="shared" si="45"/>
        <v>18.46</v>
      </c>
      <c r="E294" s="1">
        <f t="shared" si="44"/>
        <v>184600</v>
      </c>
      <c r="F294" s="1">
        <f t="shared" si="47"/>
        <v>11365655.471289273</v>
      </c>
      <c r="G294" s="1">
        <f t="shared" si="48"/>
        <v>5682827.7356446367</v>
      </c>
      <c r="H294" s="1">
        <f t="shared" si="49"/>
        <v>2273131.0942578549</v>
      </c>
      <c r="I294" s="1">
        <f t="shared" si="50"/>
        <v>1136565.5471289274</v>
      </c>
      <c r="J294" s="1">
        <f t="shared" si="51"/>
        <v>757710.36475261825</v>
      </c>
      <c r="K294" s="1">
        <f t="shared" si="52"/>
        <v>378855.18237630912</v>
      </c>
      <c r="L294" s="1">
        <f t="shared" si="53"/>
        <v>113656.55471289274</v>
      </c>
      <c r="M294">
        <f t="shared" si="46"/>
        <v>1050000000</v>
      </c>
      <c r="N294" s="7"/>
    </row>
    <row r="295" spans="1:14" x14ac:dyDescent="0.25">
      <c r="A295">
        <f t="shared" si="54"/>
        <v>294</v>
      </c>
      <c r="B295" s="1">
        <v>103370700000000</v>
      </c>
      <c r="C295" s="1">
        <v>2098100000000</v>
      </c>
      <c r="D295">
        <f t="shared" si="45"/>
        <v>18.64</v>
      </c>
      <c r="E295" s="1">
        <f t="shared" si="44"/>
        <v>186400</v>
      </c>
      <c r="F295" s="1">
        <f t="shared" si="47"/>
        <v>11372317.596566524</v>
      </c>
      <c r="G295" s="1">
        <f t="shared" si="48"/>
        <v>5686158.7982832622</v>
      </c>
      <c r="H295" s="1">
        <f t="shared" si="49"/>
        <v>2274463.5193133047</v>
      </c>
      <c r="I295" s="1">
        <f t="shared" si="50"/>
        <v>1137231.7596566523</v>
      </c>
      <c r="J295" s="1">
        <f t="shared" si="51"/>
        <v>758154.50643776823</v>
      </c>
      <c r="K295" s="1">
        <f t="shared" si="52"/>
        <v>379077.25321888411</v>
      </c>
      <c r="L295" s="1">
        <f t="shared" si="53"/>
        <v>113723.17596566524</v>
      </c>
      <c r="M295">
        <f t="shared" si="46"/>
        <v>1060000000</v>
      </c>
      <c r="N295" s="7"/>
    </row>
    <row r="296" spans="1:14" x14ac:dyDescent="0.25">
      <c r="A296">
        <f t="shared" si="54"/>
        <v>295</v>
      </c>
      <c r="B296" s="1">
        <v>105490500000000</v>
      </c>
      <c r="C296" s="1">
        <v>2119800000000</v>
      </c>
      <c r="D296">
        <f t="shared" si="45"/>
        <v>18.829999999999998</v>
      </c>
      <c r="E296" s="1">
        <f t="shared" si="44"/>
        <v>188299.99999999997</v>
      </c>
      <c r="F296" s="1">
        <f t="shared" si="47"/>
        <v>11372809.346787043</v>
      </c>
      <c r="G296" s="1">
        <f t="shared" si="48"/>
        <v>5686404.6733935215</v>
      </c>
      <c r="H296" s="1">
        <f t="shared" si="49"/>
        <v>2274561.8693574085</v>
      </c>
      <c r="I296" s="1">
        <f t="shared" si="50"/>
        <v>1137280.9346787042</v>
      </c>
      <c r="J296" s="1">
        <f t="shared" si="51"/>
        <v>758187.28978580295</v>
      </c>
      <c r="K296" s="1">
        <f t="shared" si="52"/>
        <v>379093.64489290147</v>
      </c>
      <c r="L296" s="1">
        <f t="shared" si="53"/>
        <v>113728.09346787044</v>
      </c>
      <c r="M296">
        <f t="shared" si="46"/>
        <v>1070000000</v>
      </c>
      <c r="N296" s="7"/>
    </row>
    <row r="297" spans="1:14" x14ac:dyDescent="0.25">
      <c r="A297">
        <f t="shared" si="54"/>
        <v>296</v>
      </c>
      <c r="B297" s="1">
        <v>107632000000000</v>
      </c>
      <c r="C297" s="1">
        <v>2141500000000</v>
      </c>
      <c r="D297">
        <f t="shared" si="45"/>
        <v>19.02</v>
      </c>
      <c r="E297" s="1">
        <f t="shared" si="44"/>
        <v>190200</v>
      </c>
      <c r="F297" s="1">
        <f t="shared" si="47"/>
        <v>11373291.2723449</v>
      </c>
      <c r="G297" s="1">
        <f t="shared" si="48"/>
        <v>5686645.6361724501</v>
      </c>
      <c r="H297" s="1">
        <f t="shared" si="49"/>
        <v>2274658.2544689802</v>
      </c>
      <c r="I297" s="1">
        <f t="shared" si="50"/>
        <v>1137329.1272344901</v>
      </c>
      <c r="J297" s="1">
        <f t="shared" si="51"/>
        <v>758219.41815632663</v>
      </c>
      <c r="K297" s="1">
        <f t="shared" si="52"/>
        <v>379109.70907816332</v>
      </c>
      <c r="L297" s="1">
        <f t="shared" si="53"/>
        <v>113732.912723449</v>
      </c>
      <c r="M297">
        <f t="shared" si="46"/>
        <v>1080000000</v>
      </c>
      <c r="N297" s="7"/>
    </row>
    <row r="298" spans="1:14" x14ac:dyDescent="0.25">
      <c r="A298">
        <f t="shared" si="54"/>
        <v>297</v>
      </c>
      <c r="B298" s="1">
        <v>109795200000000</v>
      </c>
      <c r="C298" s="1">
        <v>2163200000000</v>
      </c>
      <c r="D298">
        <f t="shared" si="45"/>
        <v>19.21</v>
      </c>
      <c r="E298" s="1">
        <f t="shared" si="44"/>
        <v>192100</v>
      </c>
      <c r="F298" s="1">
        <f t="shared" si="47"/>
        <v>11373763.664757939</v>
      </c>
      <c r="G298" s="1">
        <f t="shared" si="48"/>
        <v>5686881.8323789695</v>
      </c>
      <c r="H298" s="1">
        <f t="shared" si="49"/>
        <v>2274752.7329515875</v>
      </c>
      <c r="I298" s="1">
        <f t="shared" si="50"/>
        <v>1137376.3664757938</v>
      </c>
      <c r="J298" s="1">
        <f t="shared" si="51"/>
        <v>758250.91098386259</v>
      </c>
      <c r="K298" s="1">
        <f t="shared" si="52"/>
        <v>379125.45549193129</v>
      </c>
      <c r="L298" s="1">
        <f t="shared" si="53"/>
        <v>113737.63664757939</v>
      </c>
      <c r="M298">
        <f t="shared" si="46"/>
        <v>1090000000</v>
      </c>
      <c r="N298" s="7"/>
    </row>
    <row r="299" spans="1:14" x14ac:dyDescent="0.25">
      <c r="A299">
        <f t="shared" si="54"/>
        <v>298</v>
      </c>
      <c r="B299" s="1">
        <v>111980100000000</v>
      </c>
      <c r="C299" s="1">
        <v>2184900000000</v>
      </c>
      <c r="D299">
        <f t="shared" si="45"/>
        <v>19.399999999999999</v>
      </c>
      <c r="E299" s="1">
        <f t="shared" si="44"/>
        <v>194000</v>
      </c>
      <c r="F299" s="1">
        <f t="shared" si="47"/>
        <v>11374226.804123711</v>
      </c>
      <c r="G299" s="1">
        <f t="shared" si="48"/>
        <v>5687113.4020618554</v>
      </c>
      <c r="H299" s="1">
        <f t="shared" si="49"/>
        <v>2274845.3608247424</v>
      </c>
      <c r="I299" s="1">
        <f t="shared" si="50"/>
        <v>1137422.6804123712</v>
      </c>
      <c r="J299" s="1">
        <f t="shared" si="51"/>
        <v>758281.78694158071</v>
      </c>
      <c r="K299" s="1">
        <f t="shared" si="52"/>
        <v>379140.89347079035</v>
      </c>
      <c r="L299" s="1">
        <f t="shared" si="53"/>
        <v>113742.26804123711</v>
      </c>
      <c r="M299">
        <f t="shared" si="46"/>
        <v>1100000000</v>
      </c>
      <c r="N299" s="7"/>
    </row>
    <row r="300" spans="1:14" x14ac:dyDescent="0.25">
      <c r="A300">
        <f t="shared" si="54"/>
        <v>299</v>
      </c>
      <c r="B300" s="1">
        <v>114186700000000</v>
      </c>
      <c r="C300" s="1">
        <v>2206600000000</v>
      </c>
      <c r="D300">
        <f t="shared" si="45"/>
        <v>19.59</v>
      </c>
      <c r="E300" s="1">
        <f t="shared" si="44"/>
        <v>195900</v>
      </c>
      <c r="F300" s="1">
        <f t="shared" si="47"/>
        <v>11374680.959673302</v>
      </c>
      <c r="G300" s="1">
        <f t="shared" si="48"/>
        <v>5687340.4798366511</v>
      </c>
      <c r="H300" s="1">
        <f t="shared" si="49"/>
        <v>2274936.1919346605</v>
      </c>
      <c r="I300" s="1">
        <f t="shared" si="50"/>
        <v>1137468.0959673303</v>
      </c>
      <c r="J300" s="1">
        <f t="shared" si="51"/>
        <v>758312.06397822022</v>
      </c>
      <c r="K300" s="1">
        <f t="shared" si="52"/>
        <v>379156.03198911011</v>
      </c>
      <c r="L300" s="1">
        <f t="shared" si="53"/>
        <v>113746.80959673303</v>
      </c>
      <c r="M300">
        <f t="shared" si="46"/>
        <v>1110000000</v>
      </c>
      <c r="N300" s="7"/>
    </row>
    <row r="301" spans="1:14" x14ac:dyDescent="0.25">
      <c r="A301">
        <f t="shared" si="54"/>
        <v>300</v>
      </c>
      <c r="B301" s="1">
        <v>116415000000000</v>
      </c>
      <c r="C301" s="1">
        <v>2228300000000</v>
      </c>
      <c r="D301">
        <f t="shared" si="45"/>
        <v>19.79</v>
      </c>
      <c r="E301" s="1">
        <f t="shared" si="44"/>
        <v>197900</v>
      </c>
      <c r="F301" s="1">
        <f t="shared" si="47"/>
        <v>11369378.473976756</v>
      </c>
      <c r="G301" s="1">
        <f t="shared" si="48"/>
        <v>5684689.2369883778</v>
      </c>
      <c r="H301" s="1">
        <f t="shared" si="49"/>
        <v>2273875.694795351</v>
      </c>
      <c r="I301" s="1">
        <f t="shared" si="50"/>
        <v>1136937.8473976755</v>
      </c>
      <c r="J301" s="1">
        <f t="shared" si="51"/>
        <v>757958.56493178371</v>
      </c>
      <c r="K301" s="1">
        <f t="shared" si="52"/>
        <v>378979.28246589185</v>
      </c>
      <c r="L301" s="1">
        <f t="shared" si="53"/>
        <v>113693.78473976757</v>
      </c>
      <c r="M301">
        <f t="shared" si="46"/>
        <v>1130000000</v>
      </c>
      <c r="N301" s="7"/>
    </row>
    <row r="302" spans="1:14" x14ac:dyDescent="0.25">
      <c r="A302">
        <f t="shared" si="54"/>
        <v>301</v>
      </c>
      <c r="B302" s="1">
        <v>118665000000000</v>
      </c>
      <c r="C302" s="1">
        <v>2250000000000</v>
      </c>
      <c r="D302">
        <f t="shared" si="45"/>
        <v>19.989999999999998</v>
      </c>
      <c r="E302" s="1">
        <f t="shared" si="44"/>
        <v>199899.99999999997</v>
      </c>
      <c r="F302" s="1">
        <f t="shared" si="47"/>
        <v>11364182.091045525</v>
      </c>
      <c r="G302" s="1">
        <f t="shared" si="48"/>
        <v>5682091.0455227625</v>
      </c>
      <c r="H302" s="1">
        <f t="shared" si="49"/>
        <v>2272836.4182091048</v>
      </c>
      <c r="I302" s="1">
        <f t="shared" si="50"/>
        <v>1136418.2091045524</v>
      </c>
      <c r="J302" s="1">
        <f t="shared" si="51"/>
        <v>757612.13940303493</v>
      </c>
      <c r="K302" s="1">
        <f t="shared" si="52"/>
        <v>378806.06970151747</v>
      </c>
      <c r="L302" s="1">
        <f t="shared" si="53"/>
        <v>113641.82091045525</v>
      </c>
      <c r="M302">
        <f t="shared" si="46"/>
        <v>1140000000</v>
      </c>
      <c r="N302" s="7"/>
    </row>
    <row r="303" spans="1:14" x14ac:dyDescent="0.25">
      <c r="A303">
        <f t="shared" si="54"/>
        <v>302</v>
      </c>
      <c r="B303" s="1">
        <v>120936700000000</v>
      </c>
      <c r="C303" s="1">
        <v>2271700000000</v>
      </c>
      <c r="D303">
        <f t="shared" si="45"/>
        <v>20.190000000000001</v>
      </c>
      <c r="E303" s="1">
        <f t="shared" si="44"/>
        <v>201900</v>
      </c>
      <c r="F303" s="1">
        <f t="shared" si="47"/>
        <v>11359088.657751363</v>
      </c>
      <c r="G303" s="1">
        <f t="shared" si="48"/>
        <v>5679544.3288756814</v>
      </c>
      <c r="H303" s="1">
        <f t="shared" si="49"/>
        <v>2271817.7315502726</v>
      </c>
      <c r="I303" s="1">
        <f t="shared" si="50"/>
        <v>1135908.8657751363</v>
      </c>
      <c r="J303" s="1">
        <f t="shared" si="51"/>
        <v>757272.57718342415</v>
      </c>
      <c r="K303" s="1">
        <f t="shared" si="52"/>
        <v>378636.28859171207</v>
      </c>
      <c r="L303" s="1">
        <f t="shared" si="53"/>
        <v>113590.88657751362</v>
      </c>
      <c r="M303">
        <f t="shared" si="46"/>
        <v>1150000000</v>
      </c>
      <c r="N303" s="7"/>
    </row>
    <row r="304" spans="1:14" x14ac:dyDescent="0.25">
      <c r="A304">
        <f t="shared" si="54"/>
        <v>303</v>
      </c>
      <c r="B304" s="1">
        <v>123230100000000</v>
      </c>
      <c r="C304" s="1">
        <v>2293400000000</v>
      </c>
      <c r="D304">
        <f t="shared" si="45"/>
        <v>20.39</v>
      </c>
      <c r="E304" s="1">
        <f t="shared" si="44"/>
        <v>203900</v>
      </c>
      <c r="F304" s="1">
        <f t="shared" si="47"/>
        <v>11354095.144678764</v>
      </c>
      <c r="G304" s="1">
        <f t="shared" si="48"/>
        <v>5677047.572339382</v>
      </c>
      <c r="H304" s="1">
        <f t="shared" si="49"/>
        <v>2270819.0289357528</v>
      </c>
      <c r="I304" s="1">
        <f t="shared" si="50"/>
        <v>1135409.5144678764</v>
      </c>
      <c r="J304" s="1">
        <f t="shared" si="51"/>
        <v>756939.6763119176</v>
      </c>
      <c r="K304" s="1">
        <f t="shared" si="52"/>
        <v>378469.8381559588</v>
      </c>
      <c r="L304" s="1">
        <f t="shared" si="53"/>
        <v>113540.95144678764</v>
      </c>
      <c r="M304">
        <f t="shared" si="46"/>
        <v>1160000000</v>
      </c>
      <c r="N304" s="7"/>
    </row>
    <row r="305" spans="1:14" x14ac:dyDescent="0.25">
      <c r="A305">
        <f t="shared" si="54"/>
        <v>304</v>
      </c>
      <c r="B305" s="1">
        <v>125545200000000</v>
      </c>
      <c r="C305" s="1">
        <v>2315100000000</v>
      </c>
      <c r="D305">
        <f t="shared" si="45"/>
        <v>20.59</v>
      </c>
      <c r="E305" s="1">
        <f t="shared" si="44"/>
        <v>205900</v>
      </c>
      <c r="F305" s="1">
        <f t="shared" si="47"/>
        <v>11349198.640116561</v>
      </c>
      <c r="G305" s="1">
        <f t="shared" si="48"/>
        <v>5674599.3200582806</v>
      </c>
      <c r="H305" s="1">
        <f t="shared" si="49"/>
        <v>2269839.7280233121</v>
      </c>
      <c r="I305" s="1">
        <f t="shared" si="50"/>
        <v>1134919.864011656</v>
      </c>
      <c r="J305" s="1">
        <f t="shared" si="51"/>
        <v>756613.24267443747</v>
      </c>
      <c r="K305" s="1">
        <f t="shared" si="52"/>
        <v>378306.62133721873</v>
      </c>
      <c r="L305" s="1">
        <f t="shared" si="53"/>
        <v>113491.98640116562</v>
      </c>
      <c r="M305">
        <f t="shared" si="46"/>
        <v>1170000000</v>
      </c>
      <c r="N305" s="7"/>
    </row>
    <row r="306" spans="1:14" x14ac:dyDescent="0.25">
      <c r="A306">
        <f t="shared" si="54"/>
        <v>305</v>
      </c>
      <c r="B306" s="1">
        <v>127882000000000</v>
      </c>
      <c r="C306" s="1">
        <v>2336800000000</v>
      </c>
      <c r="D306">
        <f t="shared" si="45"/>
        <v>20.8</v>
      </c>
      <c r="E306" s="1">
        <f t="shared" si="44"/>
        <v>208000</v>
      </c>
      <c r="F306" s="1">
        <f t="shared" si="47"/>
        <v>11338942.307692308</v>
      </c>
      <c r="G306" s="1">
        <f t="shared" si="48"/>
        <v>5669471.153846154</v>
      </c>
      <c r="H306" s="1">
        <f t="shared" si="49"/>
        <v>2267788.4615384615</v>
      </c>
      <c r="I306" s="1">
        <f t="shared" si="50"/>
        <v>1133894.2307692308</v>
      </c>
      <c r="J306" s="1">
        <f t="shared" si="51"/>
        <v>755929.48717948713</v>
      </c>
      <c r="K306" s="1">
        <f t="shared" si="52"/>
        <v>377964.74358974356</v>
      </c>
      <c r="L306" s="1">
        <f t="shared" si="53"/>
        <v>113389.42307692308</v>
      </c>
      <c r="M306">
        <f t="shared" si="46"/>
        <v>1180000000</v>
      </c>
      <c r="N306" s="7"/>
    </row>
    <row r="307" spans="1:14" x14ac:dyDescent="0.25">
      <c r="A307">
        <f t="shared" si="54"/>
        <v>306</v>
      </c>
      <c r="B307" s="1">
        <v>130240500000000</v>
      </c>
      <c r="C307" s="1">
        <v>2358500000000</v>
      </c>
      <c r="D307">
        <f t="shared" si="45"/>
        <v>21.01</v>
      </c>
      <c r="E307" s="1">
        <f t="shared" si="44"/>
        <v>210100.00000000003</v>
      </c>
      <c r="F307" s="1">
        <f t="shared" si="47"/>
        <v>11328891.004283672</v>
      </c>
      <c r="G307" s="1">
        <f t="shared" si="48"/>
        <v>5664445.5021418361</v>
      </c>
      <c r="H307" s="1">
        <f t="shared" si="49"/>
        <v>2265778.2008567345</v>
      </c>
      <c r="I307" s="1">
        <f t="shared" si="50"/>
        <v>1132889.1004283673</v>
      </c>
      <c r="J307" s="1">
        <f t="shared" si="51"/>
        <v>755259.40028557822</v>
      </c>
      <c r="K307" s="1">
        <f t="shared" si="52"/>
        <v>377629.70014278911</v>
      </c>
      <c r="L307" s="1">
        <f t="shared" si="53"/>
        <v>113288.91004283672</v>
      </c>
      <c r="M307">
        <f t="shared" si="46"/>
        <v>1190000000</v>
      </c>
      <c r="N307" s="7"/>
    </row>
    <row r="308" spans="1:14" x14ac:dyDescent="0.25">
      <c r="A308">
        <f t="shared" si="54"/>
        <v>307</v>
      </c>
      <c r="B308" s="1">
        <v>132620700000000</v>
      </c>
      <c r="C308" s="1">
        <v>2380200000000</v>
      </c>
      <c r="D308">
        <f t="shared" si="45"/>
        <v>21.22</v>
      </c>
      <c r="E308" s="1">
        <f t="shared" si="44"/>
        <v>212200</v>
      </c>
      <c r="F308" s="1">
        <f t="shared" si="47"/>
        <v>11319038.64278982</v>
      </c>
      <c r="G308" s="1">
        <f t="shared" si="48"/>
        <v>5659519.3213949101</v>
      </c>
      <c r="H308" s="1">
        <f t="shared" si="49"/>
        <v>2263807.7285579643</v>
      </c>
      <c r="I308" s="1">
        <f t="shared" si="50"/>
        <v>1131903.8642789822</v>
      </c>
      <c r="J308" s="1">
        <f t="shared" si="51"/>
        <v>754602.57618598803</v>
      </c>
      <c r="K308" s="1">
        <f t="shared" si="52"/>
        <v>377301.28809299401</v>
      </c>
      <c r="L308" s="1">
        <f t="shared" si="53"/>
        <v>113190.38642789821</v>
      </c>
      <c r="M308">
        <f t="shared" si="46"/>
        <v>1200000000</v>
      </c>
      <c r="N308" s="7"/>
    </row>
    <row r="309" spans="1:14" x14ac:dyDescent="0.25">
      <c r="A309">
        <f t="shared" si="54"/>
        <v>308</v>
      </c>
      <c r="B309" s="1">
        <v>135022600000000</v>
      </c>
      <c r="C309" s="1">
        <v>2401900000000</v>
      </c>
      <c r="D309">
        <f t="shared" si="45"/>
        <v>21.43</v>
      </c>
      <c r="E309" s="1">
        <f t="shared" si="44"/>
        <v>214300</v>
      </c>
      <c r="F309" s="1">
        <f t="shared" si="47"/>
        <v>11309379.374708353</v>
      </c>
      <c r="G309" s="1">
        <f t="shared" si="48"/>
        <v>5654689.6873541763</v>
      </c>
      <c r="H309" s="1">
        <f t="shared" si="49"/>
        <v>2261875.8749416703</v>
      </c>
      <c r="I309" s="1">
        <f t="shared" si="50"/>
        <v>1130937.9374708352</v>
      </c>
      <c r="J309" s="1">
        <f t="shared" si="51"/>
        <v>753958.6249805569</v>
      </c>
      <c r="K309" s="1">
        <f t="shared" si="52"/>
        <v>376979.31249027845</v>
      </c>
      <c r="L309" s="1">
        <f t="shared" si="53"/>
        <v>113093.79374708353</v>
      </c>
      <c r="M309">
        <f t="shared" si="46"/>
        <v>1210000000</v>
      </c>
      <c r="N309" s="7"/>
    </row>
    <row r="310" spans="1:14" x14ac:dyDescent="0.25">
      <c r="A310">
        <f t="shared" si="54"/>
        <v>309</v>
      </c>
      <c r="B310" s="1">
        <v>137446200000000</v>
      </c>
      <c r="C310" s="1">
        <v>2423600000000</v>
      </c>
      <c r="D310">
        <f t="shared" si="45"/>
        <v>21.64</v>
      </c>
      <c r="E310" s="1">
        <f t="shared" si="44"/>
        <v>216400</v>
      </c>
      <c r="F310" s="1">
        <f t="shared" si="47"/>
        <v>11299907.578558225</v>
      </c>
      <c r="G310" s="1">
        <f t="shared" si="48"/>
        <v>5649953.7892791126</v>
      </c>
      <c r="H310" s="1">
        <f t="shared" si="49"/>
        <v>2259981.5157116451</v>
      </c>
      <c r="I310" s="1">
        <f t="shared" si="50"/>
        <v>1129990.7578558226</v>
      </c>
      <c r="J310" s="1">
        <f t="shared" si="51"/>
        <v>753327.17190388171</v>
      </c>
      <c r="K310" s="1">
        <f t="shared" si="52"/>
        <v>376663.58595194086</v>
      </c>
      <c r="L310" s="1">
        <f t="shared" si="53"/>
        <v>112999.07578558226</v>
      </c>
      <c r="M310">
        <f t="shared" si="46"/>
        <v>1220000000</v>
      </c>
      <c r="N310" s="7"/>
    </row>
    <row r="311" spans="1:14" x14ac:dyDescent="0.25">
      <c r="A311">
        <f t="shared" si="54"/>
        <v>310</v>
      </c>
      <c r="B311" s="1">
        <v>139891500000000</v>
      </c>
      <c r="C311" s="1">
        <v>2445300000000</v>
      </c>
      <c r="D311">
        <f t="shared" si="45"/>
        <v>21.86</v>
      </c>
      <c r="E311" s="1">
        <f t="shared" si="44"/>
        <v>218600</v>
      </c>
      <c r="F311" s="1">
        <f t="shared" si="47"/>
        <v>11285452.881976211</v>
      </c>
      <c r="G311" s="1">
        <f t="shared" si="48"/>
        <v>5642726.4409881057</v>
      </c>
      <c r="H311" s="1">
        <f t="shared" si="49"/>
        <v>2257090.5763952425</v>
      </c>
      <c r="I311" s="1">
        <f t="shared" si="50"/>
        <v>1128545.2881976212</v>
      </c>
      <c r="J311" s="1">
        <f t="shared" si="51"/>
        <v>752363.52546508086</v>
      </c>
      <c r="K311" s="1">
        <f t="shared" si="52"/>
        <v>376181.76273254043</v>
      </c>
      <c r="L311" s="1">
        <f t="shared" si="53"/>
        <v>112854.52881976213</v>
      </c>
      <c r="M311">
        <f t="shared" si="46"/>
        <v>1230000000</v>
      </c>
      <c r="N311" s="7"/>
    </row>
    <row r="312" spans="1:14" x14ac:dyDescent="0.25">
      <c r="A312">
        <f t="shared" si="54"/>
        <v>311</v>
      </c>
      <c r="B312" s="1">
        <v>142358500000000</v>
      </c>
      <c r="C312" s="1">
        <v>2467000000000</v>
      </c>
      <c r="D312">
        <f t="shared" si="45"/>
        <v>22.08</v>
      </c>
      <c r="E312" s="1">
        <f t="shared" si="44"/>
        <v>220799.99999999997</v>
      </c>
      <c r="F312" s="1">
        <f t="shared" si="47"/>
        <v>11271286.231884059</v>
      </c>
      <c r="G312" s="1">
        <f t="shared" si="48"/>
        <v>5635643.1159420293</v>
      </c>
      <c r="H312" s="1">
        <f t="shared" si="49"/>
        <v>2254257.246376812</v>
      </c>
      <c r="I312" s="1">
        <f t="shared" si="50"/>
        <v>1127128.623188406</v>
      </c>
      <c r="J312" s="1">
        <f t="shared" si="51"/>
        <v>751419.08212560392</v>
      </c>
      <c r="K312" s="1">
        <f t="shared" si="52"/>
        <v>375709.54106280196</v>
      </c>
      <c r="L312" s="1">
        <f t="shared" si="53"/>
        <v>112712.86231884061</v>
      </c>
      <c r="M312">
        <f t="shared" si="46"/>
        <v>1240000000</v>
      </c>
      <c r="N312" s="7"/>
    </row>
    <row r="313" spans="1:14" x14ac:dyDescent="0.25">
      <c r="A313">
        <f t="shared" si="54"/>
        <v>312</v>
      </c>
      <c r="B313" s="1">
        <v>144847200000000</v>
      </c>
      <c r="C313" s="1">
        <v>2488700000000</v>
      </c>
      <c r="D313">
        <f t="shared" si="45"/>
        <v>22.3</v>
      </c>
      <c r="E313" s="1">
        <f t="shared" si="44"/>
        <v>223000</v>
      </c>
      <c r="F313" s="1">
        <f t="shared" si="47"/>
        <v>11257399.103139013</v>
      </c>
      <c r="G313" s="1">
        <f t="shared" si="48"/>
        <v>5628699.5515695065</v>
      </c>
      <c r="H313" s="1">
        <f t="shared" si="49"/>
        <v>2251479.8206278025</v>
      </c>
      <c r="I313" s="1">
        <f t="shared" si="50"/>
        <v>1125739.9103139013</v>
      </c>
      <c r="J313" s="1">
        <f t="shared" si="51"/>
        <v>750493.27354260092</v>
      </c>
      <c r="K313" s="1">
        <f t="shared" si="52"/>
        <v>375246.63677130046</v>
      </c>
      <c r="L313" s="1">
        <f t="shared" si="53"/>
        <v>112573.99103139013</v>
      </c>
      <c r="M313">
        <f t="shared" si="46"/>
        <v>1260000000</v>
      </c>
      <c r="N313" s="7"/>
    </row>
    <row r="314" spans="1:14" x14ac:dyDescent="0.25">
      <c r="A314">
        <f t="shared" si="54"/>
        <v>313</v>
      </c>
      <c r="B314" s="1">
        <v>147357600000000</v>
      </c>
      <c r="C314" s="1">
        <v>2510400000000</v>
      </c>
      <c r="D314">
        <f t="shared" si="45"/>
        <v>22.52</v>
      </c>
      <c r="E314" s="1">
        <f t="shared" si="44"/>
        <v>225200</v>
      </c>
      <c r="F314" s="1">
        <f t="shared" si="47"/>
        <v>11243783.303730018</v>
      </c>
      <c r="G314" s="1">
        <f t="shared" si="48"/>
        <v>5621891.6518650092</v>
      </c>
      <c r="H314" s="1">
        <f t="shared" si="49"/>
        <v>2248756.6607460035</v>
      </c>
      <c r="I314" s="1">
        <f t="shared" si="50"/>
        <v>1124378.3303730018</v>
      </c>
      <c r="J314" s="1">
        <f t="shared" si="51"/>
        <v>749585.55358200113</v>
      </c>
      <c r="K314" s="1">
        <f t="shared" si="52"/>
        <v>374792.77679100056</v>
      </c>
      <c r="L314" s="1">
        <f t="shared" si="53"/>
        <v>112437.83303730018</v>
      </c>
      <c r="M314">
        <f t="shared" si="46"/>
        <v>1270000000</v>
      </c>
      <c r="N314" s="7"/>
    </row>
    <row r="315" spans="1:14" x14ac:dyDescent="0.25">
      <c r="A315">
        <f t="shared" si="54"/>
        <v>314</v>
      </c>
      <c r="B315" s="1">
        <v>149889700000000</v>
      </c>
      <c r="C315" s="1">
        <v>2532100000000</v>
      </c>
      <c r="D315">
        <f t="shared" si="45"/>
        <v>22.75</v>
      </c>
      <c r="E315" s="1">
        <f t="shared" si="44"/>
        <v>227500</v>
      </c>
      <c r="F315" s="1">
        <f t="shared" si="47"/>
        <v>11225494.505494505</v>
      </c>
      <c r="G315" s="1">
        <f t="shared" si="48"/>
        <v>5612747.2527472526</v>
      </c>
      <c r="H315" s="1">
        <f t="shared" si="49"/>
        <v>2245098.9010989009</v>
      </c>
      <c r="I315" s="1">
        <f t="shared" si="50"/>
        <v>1122549.4505494505</v>
      </c>
      <c r="J315" s="1">
        <f t="shared" si="51"/>
        <v>748366.30036630039</v>
      </c>
      <c r="K315" s="1">
        <f t="shared" si="52"/>
        <v>374183.1501831502</v>
      </c>
      <c r="L315" s="1">
        <f t="shared" si="53"/>
        <v>112254.94505494506</v>
      </c>
      <c r="M315">
        <f t="shared" si="46"/>
        <v>1280000000</v>
      </c>
      <c r="N315" s="7"/>
    </row>
    <row r="316" spans="1:14" x14ac:dyDescent="0.25">
      <c r="A316">
        <f t="shared" si="54"/>
        <v>315</v>
      </c>
      <c r="B316" s="1">
        <v>152443500000000</v>
      </c>
      <c r="C316" s="1">
        <v>2553800000000</v>
      </c>
      <c r="D316">
        <f t="shared" si="45"/>
        <v>22.97</v>
      </c>
      <c r="E316" s="1">
        <f t="shared" si="44"/>
        <v>229700</v>
      </c>
      <c r="F316" s="1">
        <f t="shared" si="47"/>
        <v>11212451.023073575</v>
      </c>
      <c r="G316" s="1">
        <f t="shared" si="48"/>
        <v>5606225.5115367873</v>
      </c>
      <c r="H316" s="1">
        <f t="shared" si="49"/>
        <v>2242490.2046147147</v>
      </c>
      <c r="I316" s="1">
        <f t="shared" si="50"/>
        <v>1121245.1023073574</v>
      </c>
      <c r="J316" s="1">
        <f t="shared" si="51"/>
        <v>747496.73487157165</v>
      </c>
      <c r="K316" s="1">
        <f t="shared" si="52"/>
        <v>373748.36743578583</v>
      </c>
      <c r="L316" s="1">
        <f t="shared" si="53"/>
        <v>112124.51023073574</v>
      </c>
      <c r="M316">
        <f t="shared" si="46"/>
        <v>1290000000</v>
      </c>
      <c r="N316" s="7"/>
    </row>
    <row r="317" spans="1:14" x14ac:dyDescent="0.25">
      <c r="A317">
        <f t="shared" si="54"/>
        <v>316</v>
      </c>
      <c r="B317" s="1">
        <v>155019000000000</v>
      </c>
      <c r="C317" s="1">
        <v>2575500000000</v>
      </c>
      <c r="D317">
        <f t="shared" si="45"/>
        <v>23.2</v>
      </c>
      <c r="E317" s="1">
        <f t="shared" si="44"/>
        <v>232000</v>
      </c>
      <c r="F317" s="1">
        <f t="shared" si="47"/>
        <v>11194827.586206896</v>
      </c>
      <c r="G317" s="1">
        <f t="shared" si="48"/>
        <v>5597413.7931034481</v>
      </c>
      <c r="H317" s="1">
        <f t="shared" si="49"/>
        <v>2238965.5172413792</v>
      </c>
      <c r="I317" s="1">
        <f t="shared" si="50"/>
        <v>1119482.7586206896</v>
      </c>
      <c r="J317" s="1">
        <f t="shared" si="51"/>
        <v>746321.83908045979</v>
      </c>
      <c r="K317" s="1">
        <f t="shared" si="52"/>
        <v>373160.91954022989</v>
      </c>
      <c r="L317" s="1">
        <f t="shared" si="53"/>
        <v>111948.27586206897</v>
      </c>
      <c r="M317">
        <f t="shared" si="46"/>
        <v>1300000000</v>
      </c>
      <c r="N317" s="7"/>
    </row>
    <row r="318" spans="1:14" x14ac:dyDescent="0.25">
      <c r="A318">
        <f t="shared" si="54"/>
        <v>317</v>
      </c>
      <c r="B318" s="1">
        <v>157616200000000</v>
      </c>
      <c r="C318" s="1">
        <v>2597200000000</v>
      </c>
      <c r="D318">
        <f t="shared" si="45"/>
        <v>23.44</v>
      </c>
      <c r="E318" s="1">
        <f t="shared" si="44"/>
        <v>234400</v>
      </c>
      <c r="F318" s="1">
        <f t="shared" si="47"/>
        <v>11172781.569965871</v>
      </c>
      <c r="G318" s="1">
        <f t="shared" si="48"/>
        <v>5586390.7849829355</v>
      </c>
      <c r="H318" s="1">
        <f t="shared" si="49"/>
        <v>2234556.3139931741</v>
      </c>
      <c r="I318" s="1">
        <f t="shared" si="50"/>
        <v>1117278.1569965871</v>
      </c>
      <c r="J318" s="1">
        <f t="shared" si="51"/>
        <v>744852.10466439137</v>
      </c>
      <c r="K318" s="1">
        <f t="shared" si="52"/>
        <v>372426.05233219569</v>
      </c>
      <c r="L318" s="1">
        <f t="shared" si="53"/>
        <v>111727.81569965871</v>
      </c>
      <c r="M318">
        <f t="shared" si="46"/>
        <v>1310000000</v>
      </c>
      <c r="N318" s="7"/>
    </row>
    <row r="319" spans="1:14" x14ac:dyDescent="0.25">
      <c r="A319">
        <f t="shared" si="54"/>
        <v>318</v>
      </c>
      <c r="B319" s="1">
        <v>160235100000000</v>
      </c>
      <c r="C319" s="1">
        <v>2618900000000</v>
      </c>
      <c r="D319">
        <f t="shared" si="45"/>
        <v>23.67</v>
      </c>
      <c r="E319" s="1">
        <f t="shared" si="44"/>
        <v>236700.00000000003</v>
      </c>
      <c r="F319" s="1">
        <f t="shared" si="47"/>
        <v>11155893.536121672</v>
      </c>
      <c r="G319" s="1">
        <f t="shared" si="48"/>
        <v>5577946.768060836</v>
      </c>
      <c r="H319" s="1">
        <f t="shared" si="49"/>
        <v>2231178.7072243341</v>
      </c>
      <c r="I319" s="1">
        <f t="shared" si="50"/>
        <v>1115589.3536121671</v>
      </c>
      <c r="J319" s="1">
        <f t="shared" si="51"/>
        <v>743726.23574144475</v>
      </c>
      <c r="K319" s="1">
        <f t="shared" si="52"/>
        <v>371863.11787072237</v>
      </c>
      <c r="L319" s="1">
        <f t="shared" si="53"/>
        <v>111558.93536121672</v>
      </c>
      <c r="M319">
        <f t="shared" si="46"/>
        <v>1320000000</v>
      </c>
      <c r="N319" s="7"/>
    </row>
    <row r="320" spans="1:14" x14ac:dyDescent="0.25">
      <c r="A320">
        <f t="shared" si="54"/>
        <v>319</v>
      </c>
      <c r="B320" s="1">
        <v>162875700000000</v>
      </c>
      <c r="C320" s="1">
        <v>2640600000000</v>
      </c>
      <c r="D320">
        <f t="shared" si="45"/>
        <v>23.91</v>
      </c>
      <c r="E320" s="1">
        <f t="shared" si="44"/>
        <v>239100</v>
      </c>
      <c r="F320" s="1">
        <f t="shared" si="47"/>
        <v>11134671.685487244</v>
      </c>
      <c r="G320" s="1">
        <f t="shared" si="48"/>
        <v>5567335.8427436221</v>
      </c>
      <c r="H320" s="1">
        <f t="shared" si="49"/>
        <v>2226934.3370974488</v>
      </c>
      <c r="I320" s="1">
        <f t="shared" si="50"/>
        <v>1113467.1685487244</v>
      </c>
      <c r="J320" s="1">
        <f t="shared" si="51"/>
        <v>742311.44569914963</v>
      </c>
      <c r="K320" s="1">
        <f t="shared" si="52"/>
        <v>371155.72284957481</v>
      </c>
      <c r="L320" s="1">
        <f t="shared" si="53"/>
        <v>111346.71685487244</v>
      </c>
      <c r="M320">
        <f t="shared" si="46"/>
        <v>1330000000</v>
      </c>
      <c r="N320" s="7"/>
    </row>
    <row r="321" spans="1:14" x14ac:dyDescent="0.25">
      <c r="A321">
        <f t="shared" si="54"/>
        <v>320</v>
      </c>
      <c r="B321" s="1">
        <v>165538000000000</v>
      </c>
      <c r="C321" s="1">
        <v>2662300000000</v>
      </c>
      <c r="D321">
        <f t="shared" si="45"/>
        <v>24.15</v>
      </c>
      <c r="E321" s="1">
        <f t="shared" si="44"/>
        <v>241500</v>
      </c>
      <c r="F321" s="1">
        <f t="shared" si="47"/>
        <v>11113871.635610767</v>
      </c>
      <c r="G321" s="1">
        <f t="shared" si="48"/>
        <v>5556935.8178053834</v>
      </c>
      <c r="H321" s="1">
        <f t="shared" si="49"/>
        <v>2222774.3271221532</v>
      </c>
      <c r="I321" s="1">
        <f t="shared" si="50"/>
        <v>1111387.1635610766</v>
      </c>
      <c r="J321" s="1">
        <f t="shared" si="51"/>
        <v>740924.77570738446</v>
      </c>
      <c r="K321" s="1">
        <f t="shared" si="52"/>
        <v>370462.38785369223</v>
      </c>
      <c r="L321" s="1">
        <f t="shared" si="53"/>
        <v>111138.71635610766</v>
      </c>
      <c r="M321">
        <f t="shared" si="46"/>
        <v>1340000000</v>
      </c>
      <c r="N321" s="7"/>
    </row>
    <row r="322" spans="1:14" x14ac:dyDescent="0.25">
      <c r="A322">
        <f t="shared" si="54"/>
        <v>321</v>
      </c>
      <c r="B322" s="1">
        <v>168222000000000</v>
      </c>
      <c r="C322" s="1">
        <v>2684000000000</v>
      </c>
      <c r="D322">
        <f t="shared" si="45"/>
        <v>24.39</v>
      </c>
      <c r="E322" s="1">
        <f t="shared" ref="E322:E385" si="55">+D322*10000</f>
        <v>243900</v>
      </c>
      <c r="F322" s="1">
        <f t="shared" si="47"/>
        <v>11093480.934809348</v>
      </c>
      <c r="G322" s="1">
        <f t="shared" si="48"/>
        <v>5546740.4674046738</v>
      </c>
      <c r="H322" s="1">
        <f t="shared" si="49"/>
        <v>2218696.1869618697</v>
      </c>
      <c r="I322" s="1">
        <f t="shared" si="50"/>
        <v>1109348.0934809349</v>
      </c>
      <c r="J322" s="1">
        <f t="shared" si="51"/>
        <v>739565.39565395657</v>
      </c>
      <c r="K322" s="1">
        <f t="shared" si="52"/>
        <v>369782.69782697828</v>
      </c>
      <c r="L322" s="1">
        <f t="shared" si="53"/>
        <v>110934.80934809348</v>
      </c>
      <c r="M322">
        <f t="shared" si="46"/>
        <v>1350000000</v>
      </c>
      <c r="N322" s="7"/>
    </row>
    <row r="323" spans="1:14" x14ac:dyDescent="0.25">
      <c r="A323">
        <f t="shared" si="54"/>
        <v>322</v>
      </c>
      <c r="B323" s="1">
        <v>170927700000000</v>
      </c>
      <c r="C323" s="1">
        <v>2705700000000</v>
      </c>
      <c r="D323">
        <f t="shared" ref="D323:D386" si="56">ROUND(1.01^A323,2)</f>
        <v>24.63</v>
      </c>
      <c r="E323" s="1">
        <f t="shared" si="55"/>
        <v>246300</v>
      </c>
      <c r="F323" s="1">
        <f t="shared" si="47"/>
        <v>11073487.616727568</v>
      </c>
      <c r="G323" s="1">
        <f t="shared" si="48"/>
        <v>5536743.8083637841</v>
      </c>
      <c r="H323" s="1">
        <f t="shared" si="49"/>
        <v>2214697.5233455137</v>
      </c>
      <c r="I323" s="1">
        <f t="shared" si="50"/>
        <v>1107348.7616727569</v>
      </c>
      <c r="J323" s="1">
        <f t="shared" si="51"/>
        <v>738232.50778183783</v>
      </c>
      <c r="K323" s="1">
        <f t="shared" si="52"/>
        <v>369116.25389091892</v>
      </c>
      <c r="L323" s="1">
        <f t="shared" si="53"/>
        <v>110734.87616727568</v>
      </c>
      <c r="M323">
        <f t="shared" ref="M323:M386" si="57">ROUND(MAX(E324*6.3*10%,C324*0.05%),-MAX(2,INT(LOG10(MAX(E324*6.3*10%,C324*0.05%)))-2))</f>
        <v>1360000000</v>
      </c>
      <c r="N323" s="7"/>
    </row>
    <row r="324" spans="1:14" x14ac:dyDescent="0.25">
      <c r="A324">
        <f t="shared" si="54"/>
        <v>323</v>
      </c>
      <c r="B324" s="1">
        <v>173655100000000</v>
      </c>
      <c r="C324" s="1">
        <v>2727400000000</v>
      </c>
      <c r="D324">
        <f t="shared" si="56"/>
        <v>24.88</v>
      </c>
      <c r="E324" s="1">
        <f t="shared" si="55"/>
        <v>248800</v>
      </c>
      <c r="F324" s="1">
        <f t="shared" ref="F324:F387" si="58">$C325/($E324*1)</f>
        <v>11049437.29903537</v>
      </c>
      <c r="G324" s="1">
        <f t="shared" ref="G324:G387" si="59">$C325/($E324*2)</f>
        <v>5524718.6495176852</v>
      </c>
      <c r="H324" s="1">
        <f t="shared" ref="H324:H387" si="60">$C325/($E324*5)</f>
        <v>2209887.4598070742</v>
      </c>
      <c r="I324" s="1">
        <f t="shared" ref="I324:I387" si="61">$C325/($E324*10)</f>
        <v>1104943.7299035371</v>
      </c>
      <c r="J324" s="1">
        <f t="shared" ref="J324:J387" si="62">$C325/($E324*15)</f>
        <v>736629.15326902468</v>
      </c>
      <c r="K324" s="1">
        <f t="shared" ref="K324:K387" si="63">$C325/($E324*30)</f>
        <v>368314.57663451234</v>
      </c>
      <c r="L324" s="1">
        <f t="shared" ref="L324:L387" si="64">$C325/($E324*100)</f>
        <v>110494.3729903537</v>
      </c>
      <c r="M324">
        <f t="shared" si="57"/>
        <v>1370000000</v>
      </c>
      <c r="N324" s="7"/>
    </row>
    <row r="325" spans="1:14" x14ac:dyDescent="0.25">
      <c r="A325">
        <f t="shared" ref="A325:A388" si="65">+A324+1</f>
        <v>324</v>
      </c>
      <c r="B325" s="1">
        <v>176404200000000</v>
      </c>
      <c r="C325" s="1">
        <v>2749100000000</v>
      </c>
      <c r="D325">
        <f t="shared" si="56"/>
        <v>25.13</v>
      </c>
      <c r="E325" s="1">
        <f t="shared" si="55"/>
        <v>251300</v>
      </c>
      <c r="F325" s="1">
        <f t="shared" si="58"/>
        <v>11025865.499403104</v>
      </c>
      <c r="G325" s="1">
        <f t="shared" si="59"/>
        <v>5512932.7497015521</v>
      </c>
      <c r="H325" s="1">
        <f t="shared" si="60"/>
        <v>2205173.0998806208</v>
      </c>
      <c r="I325" s="1">
        <f t="shared" si="61"/>
        <v>1102586.5499403104</v>
      </c>
      <c r="J325" s="1">
        <f t="shared" si="62"/>
        <v>735057.69996020687</v>
      </c>
      <c r="K325" s="1">
        <f t="shared" si="63"/>
        <v>367528.84998010343</v>
      </c>
      <c r="L325" s="1">
        <f t="shared" si="64"/>
        <v>110258.65499403104</v>
      </c>
      <c r="M325">
        <f t="shared" si="57"/>
        <v>1390000000</v>
      </c>
      <c r="N325" s="7"/>
    </row>
    <row r="326" spans="1:14" x14ac:dyDescent="0.25">
      <c r="A326">
        <f t="shared" si="65"/>
        <v>325</v>
      </c>
      <c r="B326" s="1">
        <v>179175000000000</v>
      </c>
      <c r="C326" s="1">
        <v>2770800000000</v>
      </c>
      <c r="D326">
        <f t="shared" si="56"/>
        <v>25.38</v>
      </c>
      <c r="E326" s="1">
        <f t="shared" si="55"/>
        <v>253800</v>
      </c>
      <c r="F326" s="1">
        <f t="shared" si="58"/>
        <v>11002758.077226162</v>
      </c>
      <c r="G326" s="1">
        <f t="shared" si="59"/>
        <v>5501379.038613081</v>
      </c>
      <c r="H326" s="1">
        <f t="shared" si="60"/>
        <v>2200551.6154452325</v>
      </c>
      <c r="I326" s="1">
        <f t="shared" si="61"/>
        <v>1100275.8077226162</v>
      </c>
      <c r="J326" s="1">
        <f t="shared" si="62"/>
        <v>733517.20514841087</v>
      </c>
      <c r="K326" s="1">
        <f t="shared" si="63"/>
        <v>366758.60257420543</v>
      </c>
      <c r="L326" s="1">
        <f t="shared" si="64"/>
        <v>110027.58077226163</v>
      </c>
      <c r="M326">
        <f t="shared" si="57"/>
        <v>1400000000</v>
      </c>
      <c r="N326" s="7"/>
    </row>
    <row r="327" spans="1:14" x14ac:dyDescent="0.25">
      <c r="A327">
        <f t="shared" si="65"/>
        <v>326</v>
      </c>
      <c r="B327" s="1">
        <v>181967500000000</v>
      </c>
      <c r="C327" s="1">
        <v>2792500000000</v>
      </c>
      <c r="D327">
        <f t="shared" si="56"/>
        <v>25.63</v>
      </c>
      <c r="E327" s="1">
        <f t="shared" si="55"/>
        <v>256300</v>
      </c>
      <c r="F327" s="1">
        <f t="shared" si="58"/>
        <v>10980101.443620756</v>
      </c>
      <c r="G327" s="1">
        <f t="shared" si="59"/>
        <v>5490050.7218103781</v>
      </c>
      <c r="H327" s="1">
        <f t="shared" si="60"/>
        <v>2196020.2887241514</v>
      </c>
      <c r="I327" s="1">
        <f t="shared" si="61"/>
        <v>1098010.1443620757</v>
      </c>
      <c r="J327" s="1">
        <f t="shared" si="62"/>
        <v>732006.76290805044</v>
      </c>
      <c r="K327" s="1">
        <f t="shared" si="63"/>
        <v>366003.38145402522</v>
      </c>
      <c r="L327" s="1">
        <f t="shared" si="64"/>
        <v>109801.01443620757</v>
      </c>
      <c r="M327">
        <f t="shared" si="57"/>
        <v>1410000000</v>
      </c>
      <c r="N327" s="7"/>
    </row>
    <row r="328" spans="1:14" x14ac:dyDescent="0.25">
      <c r="A328">
        <f t="shared" si="65"/>
        <v>327</v>
      </c>
      <c r="B328" s="1">
        <v>184781700000000</v>
      </c>
      <c r="C328" s="1">
        <v>2814200000000</v>
      </c>
      <c r="D328">
        <f t="shared" si="56"/>
        <v>25.89</v>
      </c>
      <c r="E328" s="1">
        <f t="shared" si="55"/>
        <v>258900</v>
      </c>
      <c r="F328" s="1">
        <f t="shared" si="58"/>
        <v>10953650.057937428</v>
      </c>
      <c r="G328" s="1">
        <f t="shared" si="59"/>
        <v>5476825.0289687142</v>
      </c>
      <c r="H328" s="1">
        <f t="shared" si="60"/>
        <v>2190730.0115874857</v>
      </c>
      <c r="I328" s="1">
        <f t="shared" si="61"/>
        <v>1095365.0057937428</v>
      </c>
      <c r="J328" s="1">
        <f t="shared" si="62"/>
        <v>730243.33719582856</v>
      </c>
      <c r="K328" s="1">
        <f t="shared" si="63"/>
        <v>365121.66859791428</v>
      </c>
      <c r="L328" s="1">
        <f t="shared" si="64"/>
        <v>109536.50057937427</v>
      </c>
      <c r="M328">
        <f t="shared" si="57"/>
        <v>1420000000</v>
      </c>
      <c r="N328" s="7"/>
    </row>
    <row r="329" spans="1:14" x14ac:dyDescent="0.25">
      <c r="A329">
        <f t="shared" si="65"/>
        <v>328</v>
      </c>
      <c r="B329" s="1">
        <v>187617600000000</v>
      </c>
      <c r="C329" s="1">
        <v>2835900000000</v>
      </c>
      <c r="D329">
        <f t="shared" si="56"/>
        <v>26.15</v>
      </c>
      <c r="E329" s="1">
        <f t="shared" si="55"/>
        <v>261500</v>
      </c>
      <c r="F329" s="1">
        <f t="shared" si="58"/>
        <v>10927724.665391969</v>
      </c>
      <c r="G329" s="1">
        <f t="shared" si="59"/>
        <v>5463862.3326959843</v>
      </c>
      <c r="H329" s="1">
        <f t="shared" si="60"/>
        <v>2185544.9330783938</v>
      </c>
      <c r="I329" s="1">
        <f t="shared" si="61"/>
        <v>1092772.4665391969</v>
      </c>
      <c r="J329" s="1">
        <f t="shared" si="62"/>
        <v>728514.97769279801</v>
      </c>
      <c r="K329" s="1">
        <f t="shared" si="63"/>
        <v>364257.48884639901</v>
      </c>
      <c r="L329" s="1">
        <f t="shared" si="64"/>
        <v>109277.24665391969</v>
      </c>
      <c r="M329">
        <f t="shared" si="57"/>
        <v>1430000000</v>
      </c>
      <c r="N329" s="7"/>
    </row>
    <row r="330" spans="1:14" x14ac:dyDescent="0.25">
      <c r="A330">
        <f t="shared" si="65"/>
        <v>329</v>
      </c>
      <c r="B330" s="1">
        <v>190475200000000</v>
      </c>
      <c r="C330" s="1">
        <v>2857600000000</v>
      </c>
      <c r="D330">
        <f t="shared" si="56"/>
        <v>26.41</v>
      </c>
      <c r="E330" s="1">
        <f t="shared" si="55"/>
        <v>264100</v>
      </c>
      <c r="F330" s="1">
        <f t="shared" si="58"/>
        <v>10902309.731162438</v>
      </c>
      <c r="G330" s="1">
        <f t="shared" si="59"/>
        <v>5451154.8655812191</v>
      </c>
      <c r="H330" s="1">
        <f t="shared" si="60"/>
        <v>2180461.9462324879</v>
      </c>
      <c r="I330" s="1">
        <f t="shared" si="61"/>
        <v>1090230.973116244</v>
      </c>
      <c r="J330" s="1">
        <f t="shared" si="62"/>
        <v>726820.64874416252</v>
      </c>
      <c r="K330" s="1">
        <f t="shared" si="63"/>
        <v>363410.32437208126</v>
      </c>
      <c r="L330" s="1">
        <f t="shared" si="64"/>
        <v>109023.09731162438</v>
      </c>
      <c r="M330">
        <f t="shared" si="57"/>
        <v>1440000000</v>
      </c>
      <c r="N330" s="7"/>
    </row>
    <row r="331" spans="1:14" x14ac:dyDescent="0.25">
      <c r="A331">
        <f t="shared" si="65"/>
        <v>330</v>
      </c>
      <c r="B331" s="1">
        <v>193354500000000</v>
      </c>
      <c r="C331" s="1">
        <v>2879300000000</v>
      </c>
      <c r="D331">
        <f t="shared" si="56"/>
        <v>26.67</v>
      </c>
      <c r="E331" s="1">
        <f t="shared" si="55"/>
        <v>266700</v>
      </c>
      <c r="F331" s="1">
        <f t="shared" si="58"/>
        <v>10877390.326209225</v>
      </c>
      <c r="G331" s="1">
        <f t="shared" si="59"/>
        <v>5438695.1631046124</v>
      </c>
      <c r="H331" s="1">
        <f t="shared" si="60"/>
        <v>2175478.0652418449</v>
      </c>
      <c r="I331" s="1">
        <f t="shared" si="61"/>
        <v>1087739.0326209224</v>
      </c>
      <c r="J331" s="1">
        <f t="shared" si="62"/>
        <v>725159.35508061491</v>
      </c>
      <c r="K331" s="1">
        <f t="shared" si="63"/>
        <v>362579.67754030746</v>
      </c>
      <c r="L331" s="1">
        <f t="shared" si="64"/>
        <v>108773.90326209224</v>
      </c>
      <c r="M331">
        <f t="shared" si="57"/>
        <v>1450000000</v>
      </c>
      <c r="N331" s="7"/>
    </row>
    <row r="332" spans="1:14" x14ac:dyDescent="0.25">
      <c r="A332">
        <f t="shared" si="65"/>
        <v>331</v>
      </c>
      <c r="B332" s="1">
        <v>196255500000000</v>
      </c>
      <c r="C332" s="1">
        <v>2901000000000</v>
      </c>
      <c r="D332">
        <f t="shared" si="56"/>
        <v>26.94</v>
      </c>
      <c r="E332" s="1">
        <f t="shared" si="55"/>
        <v>269400</v>
      </c>
      <c r="F332" s="1">
        <f t="shared" si="58"/>
        <v>10848923.533778768</v>
      </c>
      <c r="G332" s="1">
        <f t="shared" si="59"/>
        <v>5424461.766889384</v>
      </c>
      <c r="H332" s="1">
        <f t="shared" si="60"/>
        <v>2169784.7067557536</v>
      </c>
      <c r="I332" s="1">
        <f t="shared" si="61"/>
        <v>1084892.3533778768</v>
      </c>
      <c r="J332" s="1">
        <f t="shared" si="62"/>
        <v>723261.5689185845</v>
      </c>
      <c r="K332" s="1">
        <f t="shared" si="63"/>
        <v>361630.78445929225</v>
      </c>
      <c r="L332" s="1">
        <f t="shared" si="64"/>
        <v>108489.23533778767</v>
      </c>
      <c r="M332">
        <f t="shared" si="57"/>
        <v>1460000000</v>
      </c>
      <c r="N332" s="7"/>
    </row>
    <row r="333" spans="1:14" x14ac:dyDescent="0.25">
      <c r="A333">
        <f t="shared" si="65"/>
        <v>332</v>
      </c>
      <c r="B333" s="1">
        <v>199178200000000</v>
      </c>
      <c r="C333" s="1">
        <v>2922700000000</v>
      </c>
      <c r="D333">
        <f t="shared" si="56"/>
        <v>27.21</v>
      </c>
      <c r="E333" s="1">
        <f t="shared" si="55"/>
        <v>272100</v>
      </c>
      <c r="F333" s="1">
        <f t="shared" si="58"/>
        <v>10821021.683204705</v>
      </c>
      <c r="G333" s="1">
        <f t="shared" si="59"/>
        <v>5410510.8416023524</v>
      </c>
      <c r="H333" s="1">
        <f t="shared" si="60"/>
        <v>2164204.336640941</v>
      </c>
      <c r="I333" s="1">
        <f t="shared" si="61"/>
        <v>1082102.1683204705</v>
      </c>
      <c r="J333" s="1">
        <f t="shared" si="62"/>
        <v>721401.44554698025</v>
      </c>
      <c r="K333" s="1">
        <f t="shared" si="63"/>
        <v>360700.72277349012</v>
      </c>
      <c r="L333" s="1">
        <f t="shared" si="64"/>
        <v>108210.21683204704</v>
      </c>
      <c r="M333">
        <f t="shared" si="57"/>
        <v>1470000000</v>
      </c>
      <c r="N333" s="7"/>
    </row>
    <row r="334" spans="1:14" x14ac:dyDescent="0.25">
      <c r="A334">
        <f t="shared" si="65"/>
        <v>333</v>
      </c>
      <c r="B334" s="1">
        <v>202122600000000</v>
      </c>
      <c r="C334" s="1">
        <v>2944400000000</v>
      </c>
      <c r="D334">
        <f t="shared" si="56"/>
        <v>27.48</v>
      </c>
      <c r="E334" s="1">
        <f t="shared" si="55"/>
        <v>274800</v>
      </c>
      <c r="F334" s="1">
        <f t="shared" si="58"/>
        <v>10793668.122270742</v>
      </c>
      <c r="G334" s="1">
        <f t="shared" si="59"/>
        <v>5396834.0611353712</v>
      </c>
      <c r="H334" s="1">
        <f t="shared" si="60"/>
        <v>2158733.6244541486</v>
      </c>
      <c r="I334" s="1">
        <f t="shared" si="61"/>
        <v>1079366.8122270743</v>
      </c>
      <c r="J334" s="1">
        <f t="shared" si="62"/>
        <v>719577.87481804949</v>
      </c>
      <c r="K334" s="1">
        <f t="shared" si="63"/>
        <v>359788.93740902474</v>
      </c>
      <c r="L334" s="1">
        <f t="shared" si="64"/>
        <v>107936.68122270743</v>
      </c>
      <c r="M334">
        <f t="shared" si="57"/>
        <v>1480000000</v>
      </c>
      <c r="N334" s="7"/>
    </row>
    <row r="335" spans="1:14" x14ac:dyDescent="0.25">
      <c r="A335">
        <f t="shared" si="65"/>
        <v>334</v>
      </c>
      <c r="B335" s="1">
        <v>205088700000000</v>
      </c>
      <c r="C335" s="1">
        <v>2966100000000</v>
      </c>
      <c r="D335">
        <f t="shared" si="56"/>
        <v>27.75</v>
      </c>
      <c r="E335" s="1">
        <f t="shared" si="55"/>
        <v>277500</v>
      </c>
      <c r="F335" s="1">
        <f t="shared" si="58"/>
        <v>10766846.846846847</v>
      </c>
      <c r="G335" s="1">
        <f t="shared" si="59"/>
        <v>5383423.4234234234</v>
      </c>
      <c r="H335" s="1">
        <f t="shared" si="60"/>
        <v>2153369.3693693695</v>
      </c>
      <c r="I335" s="1">
        <f t="shared" si="61"/>
        <v>1076684.6846846847</v>
      </c>
      <c r="J335" s="1">
        <f t="shared" si="62"/>
        <v>717789.78978978982</v>
      </c>
      <c r="K335" s="1">
        <f t="shared" si="63"/>
        <v>358894.89489489491</v>
      </c>
      <c r="L335" s="1">
        <f t="shared" si="64"/>
        <v>107668.46846846846</v>
      </c>
      <c r="M335">
        <f t="shared" si="57"/>
        <v>1490000000</v>
      </c>
      <c r="N335" s="7"/>
    </row>
    <row r="336" spans="1:14" x14ac:dyDescent="0.25">
      <c r="A336">
        <f t="shared" si="65"/>
        <v>335</v>
      </c>
      <c r="B336" s="1">
        <v>208076500000000</v>
      </c>
      <c r="C336" s="1">
        <v>2987800000000</v>
      </c>
      <c r="D336">
        <f t="shared" si="56"/>
        <v>28.03</v>
      </c>
      <c r="E336" s="1">
        <f t="shared" si="55"/>
        <v>280300</v>
      </c>
      <c r="F336" s="1">
        <f t="shared" si="58"/>
        <v>10736710.667142348</v>
      </c>
      <c r="G336" s="1">
        <f t="shared" si="59"/>
        <v>5368355.3335711742</v>
      </c>
      <c r="H336" s="1">
        <f t="shared" si="60"/>
        <v>2147342.1334284693</v>
      </c>
      <c r="I336" s="1">
        <f t="shared" si="61"/>
        <v>1073671.0667142347</v>
      </c>
      <c r="J336" s="1">
        <f t="shared" si="62"/>
        <v>715780.71114282322</v>
      </c>
      <c r="K336" s="1">
        <f t="shared" si="63"/>
        <v>357890.35557141161</v>
      </c>
      <c r="L336" s="1">
        <f t="shared" si="64"/>
        <v>107367.10667142348</v>
      </c>
      <c r="M336">
        <f t="shared" si="57"/>
        <v>1500000000</v>
      </c>
      <c r="N336" s="7"/>
    </row>
    <row r="337" spans="1:14" x14ac:dyDescent="0.25">
      <c r="A337">
        <f t="shared" si="65"/>
        <v>336</v>
      </c>
      <c r="B337" s="1">
        <v>211086000000000</v>
      </c>
      <c r="C337" s="1">
        <v>3009500000000</v>
      </c>
      <c r="D337">
        <f t="shared" si="56"/>
        <v>28.31</v>
      </c>
      <c r="E337" s="1">
        <f t="shared" si="55"/>
        <v>283100</v>
      </c>
      <c r="F337" s="1">
        <f t="shared" si="58"/>
        <v>10707170.611091487</v>
      </c>
      <c r="G337" s="1">
        <f t="shared" si="59"/>
        <v>5353585.3055457436</v>
      </c>
      <c r="H337" s="1">
        <f t="shared" si="60"/>
        <v>2141434.1222182973</v>
      </c>
      <c r="I337" s="1">
        <f t="shared" si="61"/>
        <v>1070717.0611091487</v>
      </c>
      <c r="J337" s="1">
        <f t="shared" si="62"/>
        <v>713811.37407276582</v>
      </c>
      <c r="K337" s="1">
        <f t="shared" si="63"/>
        <v>356905.68703638291</v>
      </c>
      <c r="L337" s="1">
        <f t="shared" si="64"/>
        <v>107071.70611091488</v>
      </c>
      <c r="M337">
        <f t="shared" si="57"/>
        <v>1520000000</v>
      </c>
      <c r="N337" s="7"/>
    </row>
    <row r="338" spans="1:14" x14ac:dyDescent="0.25">
      <c r="A338">
        <f t="shared" si="65"/>
        <v>337</v>
      </c>
      <c r="B338" s="1">
        <v>214117200000000</v>
      </c>
      <c r="C338" s="1">
        <v>3031200000000</v>
      </c>
      <c r="D338">
        <f t="shared" si="56"/>
        <v>28.6</v>
      </c>
      <c r="E338" s="1">
        <f t="shared" si="55"/>
        <v>286000</v>
      </c>
      <c r="F338" s="1">
        <f t="shared" si="58"/>
        <v>10674475.524475524</v>
      </c>
      <c r="G338" s="1">
        <f t="shared" si="59"/>
        <v>5337237.7622377621</v>
      </c>
      <c r="H338" s="1">
        <f t="shared" si="60"/>
        <v>2134895.1048951051</v>
      </c>
      <c r="I338" s="1">
        <f t="shared" si="61"/>
        <v>1067447.5524475526</v>
      </c>
      <c r="J338" s="1">
        <f t="shared" si="62"/>
        <v>711631.70163170167</v>
      </c>
      <c r="K338" s="1">
        <f t="shared" si="63"/>
        <v>355815.85081585083</v>
      </c>
      <c r="L338" s="1">
        <f t="shared" si="64"/>
        <v>106744.75524475524</v>
      </c>
      <c r="M338">
        <f t="shared" si="57"/>
        <v>1530000000</v>
      </c>
      <c r="N338" s="7"/>
    </row>
    <row r="339" spans="1:14" x14ac:dyDescent="0.25">
      <c r="A339">
        <f t="shared" si="65"/>
        <v>338</v>
      </c>
      <c r="B339" s="1">
        <v>217170100000000</v>
      </c>
      <c r="C339" s="1">
        <v>3052900000000</v>
      </c>
      <c r="D339">
        <f t="shared" si="56"/>
        <v>28.88</v>
      </c>
      <c r="E339" s="1">
        <f t="shared" si="55"/>
        <v>288800</v>
      </c>
      <c r="F339" s="1">
        <f t="shared" si="58"/>
        <v>10646121.883656509</v>
      </c>
      <c r="G339" s="1">
        <f t="shared" si="59"/>
        <v>5323060.9418282546</v>
      </c>
      <c r="H339" s="1">
        <f t="shared" si="60"/>
        <v>2129224.3767313021</v>
      </c>
      <c r="I339" s="1">
        <f t="shared" si="61"/>
        <v>1064612.1883656511</v>
      </c>
      <c r="J339" s="1">
        <f t="shared" si="62"/>
        <v>709741.45891043392</v>
      </c>
      <c r="K339" s="1">
        <f t="shared" si="63"/>
        <v>354870.72945521696</v>
      </c>
      <c r="L339" s="1">
        <f t="shared" si="64"/>
        <v>106461.21883656509</v>
      </c>
      <c r="M339">
        <f t="shared" si="57"/>
        <v>1540000000</v>
      </c>
      <c r="N339" s="7"/>
    </row>
    <row r="340" spans="1:14" x14ac:dyDescent="0.25">
      <c r="A340">
        <f t="shared" si="65"/>
        <v>339</v>
      </c>
      <c r="B340" s="1">
        <v>220244700000000</v>
      </c>
      <c r="C340" s="1">
        <v>3074600000000</v>
      </c>
      <c r="D340">
        <f t="shared" si="56"/>
        <v>29.17</v>
      </c>
      <c r="E340" s="1">
        <f t="shared" si="55"/>
        <v>291700</v>
      </c>
      <c r="F340" s="1">
        <f t="shared" si="58"/>
        <v>10614672.608844703</v>
      </c>
      <c r="G340" s="1">
        <f t="shared" si="59"/>
        <v>5307336.3044223515</v>
      </c>
      <c r="H340" s="1">
        <f t="shared" si="60"/>
        <v>2122934.5217689406</v>
      </c>
      <c r="I340" s="1">
        <f t="shared" si="61"/>
        <v>1061467.2608844703</v>
      </c>
      <c r="J340" s="1">
        <f t="shared" si="62"/>
        <v>707644.84058964695</v>
      </c>
      <c r="K340" s="1">
        <f t="shared" si="63"/>
        <v>353822.42029482347</v>
      </c>
      <c r="L340" s="1">
        <f t="shared" si="64"/>
        <v>106146.72608844703</v>
      </c>
      <c r="M340">
        <f t="shared" si="57"/>
        <v>1550000000</v>
      </c>
      <c r="N340" s="7"/>
    </row>
    <row r="341" spans="1:14" x14ac:dyDescent="0.25">
      <c r="A341">
        <f t="shared" si="65"/>
        <v>340</v>
      </c>
      <c r="B341" s="1">
        <v>223341000000000</v>
      </c>
      <c r="C341" s="1">
        <v>3096300000000</v>
      </c>
      <c r="D341">
        <f t="shared" si="56"/>
        <v>29.46</v>
      </c>
      <c r="E341" s="1">
        <f t="shared" si="55"/>
        <v>294600</v>
      </c>
      <c r="F341" s="1">
        <f t="shared" si="58"/>
        <v>10583842.498302784</v>
      </c>
      <c r="G341" s="1">
        <f t="shared" si="59"/>
        <v>5291921.2491513919</v>
      </c>
      <c r="H341" s="1">
        <f t="shared" si="60"/>
        <v>2116768.4996605567</v>
      </c>
      <c r="I341" s="1">
        <f t="shared" si="61"/>
        <v>1058384.2498302783</v>
      </c>
      <c r="J341" s="1">
        <f t="shared" si="62"/>
        <v>705589.49988685222</v>
      </c>
      <c r="K341" s="1">
        <f t="shared" si="63"/>
        <v>352794.74994342611</v>
      </c>
      <c r="L341" s="1">
        <f t="shared" si="64"/>
        <v>105838.42498302783</v>
      </c>
      <c r="M341">
        <f t="shared" si="57"/>
        <v>1560000000</v>
      </c>
      <c r="N341" s="7"/>
    </row>
    <row r="342" spans="1:14" x14ac:dyDescent="0.25">
      <c r="A342">
        <f t="shared" si="65"/>
        <v>341</v>
      </c>
      <c r="B342" s="1">
        <v>226459000000000</v>
      </c>
      <c r="C342" s="1">
        <v>3118000000000</v>
      </c>
      <c r="D342">
        <f t="shared" si="56"/>
        <v>29.76</v>
      </c>
      <c r="E342" s="1">
        <f t="shared" si="55"/>
        <v>297600</v>
      </c>
      <c r="F342" s="1">
        <f t="shared" si="58"/>
        <v>10550067.204301076</v>
      </c>
      <c r="G342" s="1">
        <f t="shared" si="59"/>
        <v>5275033.602150538</v>
      </c>
      <c r="H342" s="1">
        <f t="shared" si="60"/>
        <v>2110013.4408602151</v>
      </c>
      <c r="I342" s="1">
        <f t="shared" si="61"/>
        <v>1055006.7204301076</v>
      </c>
      <c r="J342" s="1">
        <f t="shared" si="62"/>
        <v>703337.81362007174</v>
      </c>
      <c r="K342" s="1">
        <f t="shared" si="63"/>
        <v>351668.90681003587</v>
      </c>
      <c r="L342" s="1">
        <f t="shared" si="64"/>
        <v>105500.67204301075</v>
      </c>
      <c r="M342">
        <f t="shared" si="57"/>
        <v>1570000000</v>
      </c>
      <c r="N342" s="7"/>
    </row>
    <row r="343" spans="1:14" x14ac:dyDescent="0.25">
      <c r="A343">
        <f t="shared" si="65"/>
        <v>342</v>
      </c>
      <c r="B343" s="1">
        <v>229598700000000</v>
      </c>
      <c r="C343" s="1">
        <v>3139700000000</v>
      </c>
      <c r="D343">
        <f t="shared" si="56"/>
        <v>30.05</v>
      </c>
      <c r="E343" s="1">
        <f t="shared" si="55"/>
        <v>300500</v>
      </c>
      <c r="F343" s="1">
        <f t="shared" si="58"/>
        <v>10520465.890183028</v>
      </c>
      <c r="G343" s="1">
        <f t="shared" si="59"/>
        <v>5260232.9450915139</v>
      </c>
      <c r="H343" s="1">
        <f t="shared" si="60"/>
        <v>2104093.1780366055</v>
      </c>
      <c r="I343" s="1">
        <f t="shared" si="61"/>
        <v>1052046.5890183027</v>
      </c>
      <c r="J343" s="1">
        <f t="shared" si="62"/>
        <v>701364.39267886861</v>
      </c>
      <c r="K343" s="1">
        <f t="shared" si="63"/>
        <v>350682.1963394343</v>
      </c>
      <c r="L343" s="1">
        <f t="shared" si="64"/>
        <v>105204.65890183028</v>
      </c>
      <c r="M343">
        <f t="shared" si="57"/>
        <v>1580000000</v>
      </c>
      <c r="N343" s="7"/>
    </row>
    <row r="344" spans="1:14" x14ac:dyDescent="0.25">
      <c r="A344">
        <f t="shared" si="65"/>
        <v>343</v>
      </c>
      <c r="B344" s="1">
        <v>232760100000000</v>
      </c>
      <c r="C344" s="1">
        <v>3161400000000</v>
      </c>
      <c r="D344">
        <f t="shared" si="56"/>
        <v>30.36</v>
      </c>
      <c r="E344" s="1">
        <f t="shared" si="55"/>
        <v>303600</v>
      </c>
      <c r="F344" s="1">
        <f t="shared" si="58"/>
        <v>10484519.104084322</v>
      </c>
      <c r="G344" s="1">
        <f t="shared" si="59"/>
        <v>5242259.5520421611</v>
      </c>
      <c r="H344" s="1">
        <f t="shared" si="60"/>
        <v>2096903.8208168643</v>
      </c>
      <c r="I344" s="1">
        <f t="shared" si="61"/>
        <v>1048451.9104084321</v>
      </c>
      <c r="J344" s="1">
        <f t="shared" si="62"/>
        <v>698967.94027228805</v>
      </c>
      <c r="K344" s="1">
        <f t="shared" si="63"/>
        <v>349483.97013614402</v>
      </c>
      <c r="L344" s="1">
        <f t="shared" si="64"/>
        <v>104845.19104084322</v>
      </c>
      <c r="M344">
        <f t="shared" si="57"/>
        <v>1590000000</v>
      </c>
      <c r="N344" s="7"/>
    </row>
    <row r="345" spans="1:14" x14ac:dyDescent="0.25">
      <c r="A345">
        <f t="shared" si="65"/>
        <v>344</v>
      </c>
      <c r="B345" s="1">
        <v>235943200000000</v>
      </c>
      <c r="C345" s="1">
        <v>3183100000000</v>
      </c>
      <c r="D345">
        <f t="shared" si="56"/>
        <v>30.66</v>
      </c>
      <c r="E345" s="1">
        <f t="shared" si="55"/>
        <v>306600</v>
      </c>
      <c r="F345" s="1">
        <f t="shared" si="58"/>
        <v>10452707.110241357</v>
      </c>
      <c r="G345" s="1">
        <f t="shared" si="59"/>
        <v>5226353.5551206786</v>
      </c>
      <c r="H345" s="1">
        <f t="shared" si="60"/>
        <v>2090541.4220482714</v>
      </c>
      <c r="I345" s="1">
        <f t="shared" si="61"/>
        <v>1045270.7110241357</v>
      </c>
      <c r="J345" s="1">
        <f t="shared" si="62"/>
        <v>696847.14068275713</v>
      </c>
      <c r="K345" s="1">
        <f t="shared" si="63"/>
        <v>348423.57034137857</v>
      </c>
      <c r="L345" s="1">
        <f t="shared" si="64"/>
        <v>104527.07110241357</v>
      </c>
      <c r="M345">
        <f t="shared" si="57"/>
        <v>1600000000</v>
      </c>
      <c r="N345" s="7"/>
    </row>
    <row r="346" spans="1:14" x14ac:dyDescent="0.25">
      <c r="A346">
        <f t="shared" si="65"/>
        <v>345</v>
      </c>
      <c r="B346" s="1">
        <v>239148000000000</v>
      </c>
      <c r="C346" s="1">
        <v>3204800000000</v>
      </c>
      <c r="D346">
        <f t="shared" si="56"/>
        <v>30.97</v>
      </c>
      <c r="E346" s="1">
        <f t="shared" si="55"/>
        <v>309700</v>
      </c>
      <c r="F346" s="1">
        <f t="shared" si="58"/>
        <v>10418146.593477558</v>
      </c>
      <c r="G346" s="1">
        <f t="shared" si="59"/>
        <v>5209073.2967387792</v>
      </c>
      <c r="H346" s="1">
        <f t="shared" si="60"/>
        <v>2083629.3186955119</v>
      </c>
      <c r="I346" s="1">
        <f t="shared" si="61"/>
        <v>1041814.659347756</v>
      </c>
      <c r="J346" s="1">
        <f t="shared" si="62"/>
        <v>694543.1062318373</v>
      </c>
      <c r="K346" s="1">
        <f t="shared" si="63"/>
        <v>347271.55311591865</v>
      </c>
      <c r="L346" s="1">
        <f t="shared" si="64"/>
        <v>104181.4659347756</v>
      </c>
      <c r="M346">
        <f t="shared" si="57"/>
        <v>1610000000</v>
      </c>
      <c r="N346" s="7"/>
    </row>
    <row r="347" spans="1:14" x14ac:dyDescent="0.25">
      <c r="A347">
        <f t="shared" si="65"/>
        <v>346</v>
      </c>
      <c r="B347" s="1">
        <v>242374500000000</v>
      </c>
      <c r="C347" s="1">
        <v>3226500000000</v>
      </c>
      <c r="D347">
        <f t="shared" si="56"/>
        <v>31.27</v>
      </c>
      <c r="E347" s="1">
        <f t="shared" si="55"/>
        <v>312700</v>
      </c>
      <c r="F347" s="1">
        <f t="shared" si="58"/>
        <v>10387591.94115766</v>
      </c>
      <c r="G347" s="1">
        <f t="shared" si="59"/>
        <v>5193795.9705788298</v>
      </c>
      <c r="H347" s="1">
        <f t="shared" si="60"/>
        <v>2077518.3882315317</v>
      </c>
      <c r="I347" s="1">
        <f t="shared" si="61"/>
        <v>1038759.1941157659</v>
      </c>
      <c r="J347" s="1">
        <f t="shared" si="62"/>
        <v>692506.12941051065</v>
      </c>
      <c r="K347" s="1">
        <f t="shared" si="63"/>
        <v>346253.06470525532</v>
      </c>
      <c r="L347" s="1">
        <f t="shared" si="64"/>
        <v>103875.91941157659</v>
      </c>
      <c r="M347">
        <f t="shared" si="57"/>
        <v>1620000000</v>
      </c>
      <c r="N347" s="7"/>
    </row>
    <row r="348" spans="1:14" x14ac:dyDescent="0.25">
      <c r="A348">
        <f t="shared" si="65"/>
        <v>347</v>
      </c>
      <c r="B348" s="1">
        <v>245622700000000</v>
      </c>
      <c r="C348" s="1">
        <v>3248200000000</v>
      </c>
      <c r="D348">
        <f t="shared" si="56"/>
        <v>31.59</v>
      </c>
      <c r="E348" s="1">
        <f t="shared" si="55"/>
        <v>315900</v>
      </c>
      <c r="F348" s="1">
        <f t="shared" si="58"/>
        <v>10351060.462171573</v>
      </c>
      <c r="G348" s="1">
        <f t="shared" si="59"/>
        <v>5175530.2310857866</v>
      </c>
      <c r="H348" s="1">
        <f t="shared" si="60"/>
        <v>2070212.0924343145</v>
      </c>
      <c r="I348" s="1">
        <f t="shared" si="61"/>
        <v>1035106.0462171573</v>
      </c>
      <c r="J348" s="1">
        <f t="shared" si="62"/>
        <v>690070.69747810485</v>
      </c>
      <c r="K348" s="1">
        <f t="shared" si="63"/>
        <v>345035.34873905242</v>
      </c>
      <c r="L348" s="1">
        <f t="shared" si="64"/>
        <v>103510.60462171573</v>
      </c>
      <c r="M348">
        <f t="shared" si="57"/>
        <v>1630000000</v>
      </c>
      <c r="N348" s="7"/>
    </row>
    <row r="349" spans="1:14" x14ac:dyDescent="0.25">
      <c r="A349">
        <f t="shared" si="65"/>
        <v>348</v>
      </c>
      <c r="B349" s="1">
        <v>248892600000000</v>
      </c>
      <c r="C349" s="1">
        <v>3269900000000</v>
      </c>
      <c r="D349">
        <f t="shared" si="56"/>
        <v>31.9</v>
      </c>
      <c r="E349" s="1">
        <f t="shared" si="55"/>
        <v>319000</v>
      </c>
      <c r="F349" s="1">
        <f t="shared" si="58"/>
        <v>10318495.297805643</v>
      </c>
      <c r="G349" s="1">
        <f t="shared" si="59"/>
        <v>5159247.6489028214</v>
      </c>
      <c r="H349" s="1">
        <f t="shared" si="60"/>
        <v>2063699.0595611285</v>
      </c>
      <c r="I349" s="1">
        <f t="shared" si="61"/>
        <v>1031849.5297805642</v>
      </c>
      <c r="J349" s="1">
        <f t="shared" si="62"/>
        <v>687899.68652037613</v>
      </c>
      <c r="K349" s="1">
        <f t="shared" si="63"/>
        <v>343949.84326018806</v>
      </c>
      <c r="L349" s="1">
        <f t="shared" si="64"/>
        <v>103184.95297805643</v>
      </c>
      <c r="M349">
        <f t="shared" si="57"/>
        <v>1650000000</v>
      </c>
      <c r="N349" s="7"/>
    </row>
    <row r="350" spans="1:14" x14ac:dyDescent="0.25">
      <c r="A350">
        <f t="shared" si="65"/>
        <v>349</v>
      </c>
      <c r="B350" s="1">
        <v>252184200000000</v>
      </c>
      <c r="C350" s="1">
        <v>3291600000000</v>
      </c>
      <c r="D350">
        <f t="shared" si="56"/>
        <v>32.22</v>
      </c>
      <c r="E350" s="1">
        <f t="shared" si="55"/>
        <v>322200</v>
      </c>
      <c r="F350" s="1">
        <f t="shared" si="58"/>
        <v>10283364.369956549</v>
      </c>
      <c r="G350" s="1">
        <f t="shared" si="59"/>
        <v>5141682.1849782746</v>
      </c>
      <c r="H350" s="1">
        <f t="shared" si="60"/>
        <v>2056672.8739913097</v>
      </c>
      <c r="I350" s="1">
        <f t="shared" si="61"/>
        <v>1028336.4369956548</v>
      </c>
      <c r="J350" s="1">
        <f t="shared" si="62"/>
        <v>685557.62466376997</v>
      </c>
      <c r="K350" s="1">
        <f t="shared" si="63"/>
        <v>342778.81233188498</v>
      </c>
      <c r="L350" s="1">
        <f t="shared" si="64"/>
        <v>102833.64369956548</v>
      </c>
      <c r="M350">
        <f t="shared" si="57"/>
        <v>1660000000</v>
      </c>
      <c r="N350" s="7"/>
    </row>
    <row r="351" spans="1:14" x14ac:dyDescent="0.25">
      <c r="A351">
        <f t="shared" si="65"/>
        <v>350</v>
      </c>
      <c r="B351" s="1">
        <v>255497500000000</v>
      </c>
      <c r="C351" s="1">
        <v>3313300000000</v>
      </c>
      <c r="D351">
        <f t="shared" si="56"/>
        <v>32.54</v>
      </c>
      <c r="E351" s="1">
        <f t="shared" si="55"/>
        <v>325400</v>
      </c>
      <c r="F351" s="1">
        <f t="shared" si="58"/>
        <v>10248924.400737554</v>
      </c>
      <c r="G351" s="1">
        <f t="shared" si="59"/>
        <v>5124462.2003687769</v>
      </c>
      <c r="H351" s="1">
        <f t="shared" si="60"/>
        <v>2049784.8801475107</v>
      </c>
      <c r="I351" s="1">
        <f t="shared" si="61"/>
        <v>1024892.4400737553</v>
      </c>
      <c r="J351" s="1">
        <f t="shared" si="62"/>
        <v>683261.62671583693</v>
      </c>
      <c r="K351" s="1">
        <f t="shared" si="63"/>
        <v>341630.81335791847</v>
      </c>
      <c r="L351" s="1">
        <f t="shared" si="64"/>
        <v>102489.24400737554</v>
      </c>
      <c r="M351">
        <f t="shared" si="57"/>
        <v>1670000000</v>
      </c>
      <c r="N351" s="7"/>
    </row>
    <row r="352" spans="1:14" x14ac:dyDescent="0.25">
      <c r="A352">
        <f t="shared" si="65"/>
        <v>351</v>
      </c>
      <c r="B352" s="1">
        <v>258832500000000</v>
      </c>
      <c r="C352" s="1">
        <v>3335000000000</v>
      </c>
      <c r="D352">
        <f t="shared" si="56"/>
        <v>32.869999999999997</v>
      </c>
      <c r="E352" s="1">
        <f t="shared" si="55"/>
        <v>328700</v>
      </c>
      <c r="F352" s="1">
        <f t="shared" si="58"/>
        <v>10212047.459689686</v>
      </c>
      <c r="G352" s="1">
        <f t="shared" si="59"/>
        <v>5106023.729844843</v>
      </c>
      <c r="H352" s="1">
        <f t="shared" si="60"/>
        <v>2042409.4919379372</v>
      </c>
      <c r="I352" s="1">
        <f t="shared" si="61"/>
        <v>1021204.7459689686</v>
      </c>
      <c r="J352" s="1">
        <f t="shared" si="62"/>
        <v>680803.1639793124</v>
      </c>
      <c r="K352" s="1">
        <f t="shared" si="63"/>
        <v>340401.5819896562</v>
      </c>
      <c r="L352" s="1">
        <f t="shared" si="64"/>
        <v>102120.47459689686</v>
      </c>
      <c r="M352">
        <f t="shared" si="57"/>
        <v>1680000000</v>
      </c>
      <c r="N352" s="7"/>
    </row>
    <row r="353" spans="1:14" x14ac:dyDescent="0.25">
      <c r="A353">
        <f t="shared" si="65"/>
        <v>352</v>
      </c>
      <c r="B353" s="1">
        <v>262189200000000</v>
      </c>
      <c r="C353" s="1">
        <v>3356700000000</v>
      </c>
      <c r="D353">
        <f t="shared" si="56"/>
        <v>33.200000000000003</v>
      </c>
      <c r="E353" s="1">
        <f t="shared" si="55"/>
        <v>332000</v>
      </c>
      <c r="F353" s="1">
        <f t="shared" si="58"/>
        <v>10175903.614457831</v>
      </c>
      <c r="G353" s="1">
        <f t="shared" si="59"/>
        <v>5087951.8072289154</v>
      </c>
      <c r="H353" s="1">
        <f t="shared" si="60"/>
        <v>2035180.7228915663</v>
      </c>
      <c r="I353" s="1">
        <f t="shared" si="61"/>
        <v>1017590.3614457832</v>
      </c>
      <c r="J353" s="1">
        <f t="shared" si="62"/>
        <v>678393.57429718878</v>
      </c>
      <c r="K353" s="1">
        <f t="shared" si="63"/>
        <v>339196.78714859439</v>
      </c>
      <c r="L353" s="1">
        <f t="shared" si="64"/>
        <v>101759.03614457832</v>
      </c>
      <c r="M353">
        <f t="shared" si="57"/>
        <v>1690000000</v>
      </c>
      <c r="N353" s="7"/>
    </row>
    <row r="354" spans="1:14" x14ac:dyDescent="0.25">
      <c r="A354">
        <f t="shared" si="65"/>
        <v>353</v>
      </c>
      <c r="B354" s="1">
        <v>265567600000000</v>
      </c>
      <c r="C354" s="1">
        <v>3378400000000</v>
      </c>
      <c r="D354">
        <f t="shared" si="56"/>
        <v>33.53</v>
      </c>
      <c r="E354" s="1">
        <f t="shared" si="55"/>
        <v>335300</v>
      </c>
      <c r="F354" s="1">
        <f t="shared" si="58"/>
        <v>10140471.219803162</v>
      </c>
      <c r="G354" s="1">
        <f t="shared" si="59"/>
        <v>5070235.609901581</v>
      </c>
      <c r="H354" s="1">
        <f t="shared" si="60"/>
        <v>2028094.2439606322</v>
      </c>
      <c r="I354" s="1">
        <f t="shared" si="61"/>
        <v>1014047.1219803161</v>
      </c>
      <c r="J354" s="1">
        <f t="shared" si="62"/>
        <v>676031.41465354408</v>
      </c>
      <c r="K354" s="1">
        <f t="shared" si="63"/>
        <v>338015.70732677204</v>
      </c>
      <c r="L354" s="1">
        <f t="shared" si="64"/>
        <v>101404.71219803162</v>
      </c>
      <c r="M354">
        <f t="shared" si="57"/>
        <v>1700000000</v>
      </c>
      <c r="N354" s="7"/>
    </row>
    <row r="355" spans="1:14" x14ac:dyDescent="0.25">
      <c r="A355">
        <f t="shared" si="65"/>
        <v>354</v>
      </c>
      <c r="B355" s="1">
        <v>268967700000000</v>
      </c>
      <c r="C355" s="1">
        <v>3400100000000</v>
      </c>
      <c r="D355">
        <f t="shared" si="56"/>
        <v>33.869999999999997</v>
      </c>
      <c r="E355" s="1">
        <f t="shared" si="55"/>
        <v>338700</v>
      </c>
      <c r="F355" s="1">
        <f t="shared" si="58"/>
        <v>10102745.792736934</v>
      </c>
      <c r="G355" s="1">
        <f t="shared" si="59"/>
        <v>5051372.8963684672</v>
      </c>
      <c r="H355" s="1">
        <f t="shared" si="60"/>
        <v>2020549.158547387</v>
      </c>
      <c r="I355" s="1">
        <f t="shared" si="61"/>
        <v>1010274.5792736935</v>
      </c>
      <c r="J355" s="1">
        <f t="shared" si="62"/>
        <v>673516.38618246233</v>
      </c>
      <c r="K355" s="1">
        <f t="shared" si="63"/>
        <v>336758.19309123117</v>
      </c>
      <c r="L355" s="1">
        <f t="shared" si="64"/>
        <v>101027.45792736935</v>
      </c>
      <c r="M355">
        <f t="shared" si="57"/>
        <v>1710000000</v>
      </c>
      <c r="N355" s="7"/>
    </row>
    <row r="356" spans="1:14" x14ac:dyDescent="0.25">
      <c r="A356">
        <f t="shared" si="65"/>
        <v>355</v>
      </c>
      <c r="B356" s="1">
        <v>272389500000000</v>
      </c>
      <c r="C356" s="1">
        <v>3421800000000</v>
      </c>
      <c r="D356">
        <f t="shared" si="56"/>
        <v>34.200000000000003</v>
      </c>
      <c r="E356" s="1">
        <f t="shared" si="55"/>
        <v>342000</v>
      </c>
      <c r="F356" s="1">
        <f t="shared" si="58"/>
        <v>10068713.450292397</v>
      </c>
      <c r="G356" s="1">
        <f t="shared" si="59"/>
        <v>5034356.7251461986</v>
      </c>
      <c r="H356" s="1">
        <f t="shared" si="60"/>
        <v>2013742.6900584796</v>
      </c>
      <c r="I356" s="1">
        <f t="shared" si="61"/>
        <v>1006871.3450292398</v>
      </c>
      <c r="J356" s="1">
        <f t="shared" si="62"/>
        <v>671247.56335282652</v>
      </c>
      <c r="K356" s="1">
        <f t="shared" si="63"/>
        <v>335623.78167641326</v>
      </c>
      <c r="L356" s="1">
        <f t="shared" si="64"/>
        <v>100687.13450292397</v>
      </c>
      <c r="M356">
        <f t="shared" si="57"/>
        <v>1720000000</v>
      </c>
      <c r="N356" s="7"/>
    </row>
    <row r="357" spans="1:14" x14ac:dyDescent="0.25">
      <c r="A357">
        <f t="shared" si="65"/>
        <v>356</v>
      </c>
      <c r="B357" s="1">
        <v>275833000000000</v>
      </c>
      <c r="C357" s="1">
        <v>3443500000000</v>
      </c>
      <c r="D357">
        <f t="shared" si="56"/>
        <v>34.549999999999997</v>
      </c>
      <c r="E357" s="1">
        <f t="shared" si="55"/>
        <v>345500</v>
      </c>
      <c r="F357" s="1">
        <f t="shared" si="58"/>
        <v>10029522.431259045</v>
      </c>
      <c r="G357" s="1">
        <f t="shared" si="59"/>
        <v>5014761.2156295227</v>
      </c>
      <c r="H357" s="1">
        <f t="shared" si="60"/>
        <v>2005904.4862518089</v>
      </c>
      <c r="I357" s="1">
        <f t="shared" si="61"/>
        <v>1002952.2431259045</v>
      </c>
      <c r="J357" s="1">
        <f t="shared" si="62"/>
        <v>668634.82875060302</v>
      </c>
      <c r="K357" s="1">
        <f t="shared" si="63"/>
        <v>334317.41437530151</v>
      </c>
      <c r="L357" s="1">
        <f t="shared" si="64"/>
        <v>100295.22431259045</v>
      </c>
      <c r="M357">
        <f t="shared" si="57"/>
        <v>1730000000</v>
      </c>
      <c r="N357" s="7"/>
    </row>
    <row r="358" spans="1:14" x14ac:dyDescent="0.25">
      <c r="A358">
        <f t="shared" si="65"/>
        <v>357</v>
      </c>
      <c r="B358" s="1">
        <v>279298200000000</v>
      </c>
      <c r="C358" s="1">
        <v>3465200000000</v>
      </c>
      <c r="D358">
        <f t="shared" si="56"/>
        <v>34.89</v>
      </c>
      <c r="E358" s="1">
        <f t="shared" si="55"/>
        <v>348900</v>
      </c>
      <c r="F358" s="1">
        <f t="shared" si="58"/>
        <v>9993981.0834049862</v>
      </c>
      <c r="G358" s="1">
        <f t="shared" si="59"/>
        <v>4996990.5417024931</v>
      </c>
      <c r="H358" s="1">
        <f t="shared" si="60"/>
        <v>1998796.2166809975</v>
      </c>
      <c r="I358" s="1">
        <f t="shared" si="61"/>
        <v>999398.10834049876</v>
      </c>
      <c r="J358" s="1">
        <f t="shared" si="62"/>
        <v>666265.40556033247</v>
      </c>
      <c r="K358" s="1">
        <f t="shared" si="63"/>
        <v>333132.70278016623</v>
      </c>
      <c r="L358" s="1">
        <f t="shared" si="64"/>
        <v>99939.810834049873</v>
      </c>
      <c r="M358">
        <f t="shared" si="57"/>
        <v>1740000000</v>
      </c>
      <c r="N358" s="7"/>
    </row>
    <row r="359" spans="1:14" x14ac:dyDescent="0.25">
      <c r="A359">
        <f t="shared" si="65"/>
        <v>358</v>
      </c>
      <c r="B359" s="1">
        <v>282785100000000</v>
      </c>
      <c r="C359" s="1">
        <v>3486900000000</v>
      </c>
      <c r="D359">
        <f t="shared" si="56"/>
        <v>35.24</v>
      </c>
      <c r="E359" s="1">
        <f t="shared" si="55"/>
        <v>352400</v>
      </c>
      <c r="F359" s="1">
        <f t="shared" si="58"/>
        <v>9956299.6594778653</v>
      </c>
      <c r="G359" s="1">
        <f t="shared" si="59"/>
        <v>4978149.8297389327</v>
      </c>
      <c r="H359" s="1">
        <f t="shared" si="60"/>
        <v>1991259.9318955732</v>
      </c>
      <c r="I359" s="1">
        <f t="shared" si="61"/>
        <v>995629.96594778658</v>
      </c>
      <c r="J359" s="1">
        <f t="shared" si="62"/>
        <v>663753.31063185772</v>
      </c>
      <c r="K359" s="1">
        <f t="shared" si="63"/>
        <v>331876.65531592886</v>
      </c>
      <c r="L359" s="1">
        <f t="shared" si="64"/>
        <v>99562.996594778655</v>
      </c>
      <c r="M359">
        <f t="shared" si="57"/>
        <v>1750000000</v>
      </c>
      <c r="N359" s="7"/>
    </row>
    <row r="360" spans="1:14" x14ac:dyDescent="0.25">
      <c r="A360">
        <f t="shared" si="65"/>
        <v>359</v>
      </c>
      <c r="B360" s="1">
        <v>286293700000000</v>
      </c>
      <c r="C360" s="1">
        <v>3508600000000</v>
      </c>
      <c r="D360">
        <f t="shared" si="56"/>
        <v>35.590000000000003</v>
      </c>
      <c r="E360" s="1">
        <f t="shared" si="55"/>
        <v>355900.00000000006</v>
      </c>
      <c r="F360" s="1">
        <f t="shared" si="58"/>
        <v>9919359.3706097193</v>
      </c>
      <c r="G360" s="1">
        <f t="shared" si="59"/>
        <v>4959679.6853048597</v>
      </c>
      <c r="H360" s="1">
        <f t="shared" si="60"/>
        <v>1983871.8741219442</v>
      </c>
      <c r="I360" s="1">
        <f t="shared" si="61"/>
        <v>991935.93706097209</v>
      </c>
      <c r="J360" s="1">
        <f t="shared" si="62"/>
        <v>661290.62470731465</v>
      </c>
      <c r="K360" s="1">
        <f t="shared" si="63"/>
        <v>330645.31235365733</v>
      </c>
      <c r="L360" s="1">
        <f t="shared" si="64"/>
        <v>99193.593706097192</v>
      </c>
      <c r="M360">
        <f t="shared" si="57"/>
        <v>1770000000</v>
      </c>
      <c r="N360" s="7"/>
    </row>
    <row r="361" spans="1:14" x14ac:dyDescent="0.25">
      <c r="A361">
        <f t="shared" si="65"/>
        <v>360</v>
      </c>
      <c r="B361" s="1">
        <v>289824000000000</v>
      </c>
      <c r="C361" s="1">
        <v>3530300000000</v>
      </c>
      <c r="D361">
        <f t="shared" si="56"/>
        <v>35.950000000000003</v>
      </c>
      <c r="E361" s="1">
        <f t="shared" si="55"/>
        <v>359500</v>
      </c>
      <c r="F361" s="1">
        <f t="shared" si="58"/>
        <v>9880389.4297635611</v>
      </c>
      <c r="G361" s="1">
        <f t="shared" si="59"/>
        <v>4940194.7148817806</v>
      </c>
      <c r="H361" s="1">
        <f t="shared" si="60"/>
        <v>1976077.885952712</v>
      </c>
      <c r="I361" s="1">
        <f t="shared" si="61"/>
        <v>988038.94297635602</v>
      </c>
      <c r="J361" s="1">
        <f t="shared" si="62"/>
        <v>658692.62865090405</v>
      </c>
      <c r="K361" s="1">
        <f t="shared" si="63"/>
        <v>329346.31432545203</v>
      </c>
      <c r="L361" s="1">
        <f t="shared" si="64"/>
        <v>98803.894297635605</v>
      </c>
      <c r="M361">
        <f t="shared" si="57"/>
        <v>1780000000</v>
      </c>
      <c r="N361" s="7"/>
    </row>
    <row r="362" spans="1:14" x14ac:dyDescent="0.25">
      <c r="A362">
        <f t="shared" si="65"/>
        <v>361</v>
      </c>
      <c r="B362" s="1">
        <v>293376000000000</v>
      </c>
      <c r="C362" s="1">
        <v>3552000000000</v>
      </c>
      <c r="D362">
        <f t="shared" si="56"/>
        <v>36.31</v>
      </c>
      <c r="E362" s="1">
        <f t="shared" si="55"/>
        <v>363100</v>
      </c>
      <c r="F362" s="1">
        <f t="shared" si="58"/>
        <v>9842192.2335444782</v>
      </c>
      <c r="G362" s="1">
        <f t="shared" si="59"/>
        <v>4921096.1167722391</v>
      </c>
      <c r="H362" s="1">
        <f t="shared" si="60"/>
        <v>1968438.4467088957</v>
      </c>
      <c r="I362" s="1">
        <f t="shared" si="61"/>
        <v>984219.22335444787</v>
      </c>
      <c r="J362" s="1">
        <f t="shared" si="62"/>
        <v>656146.14890296524</v>
      </c>
      <c r="K362" s="1">
        <f t="shared" si="63"/>
        <v>328073.07445148262</v>
      </c>
      <c r="L362" s="1">
        <f t="shared" si="64"/>
        <v>98421.922335444775</v>
      </c>
      <c r="M362">
        <f t="shared" si="57"/>
        <v>1790000000</v>
      </c>
      <c r="N362" s="7"/>
    </row>
    <row r="363" spans="1:14" x14ac:dyDescent="0.25">
      <c r="A363">
        <f t="shared" si="65"/>
        <v>362</v>
      </c>
      <c r="B363" s="1">
        <v>296949700000000</v>
      </c>
      <c r="C363" s="1">
        <v>3573700000000</v>
      </c>
      <c r="D363">
        <f t="shared" si="56"/>
        <v>36.67</v>
      </c>
      <c r="E363" s="1">
        <f t="shared" si="55"/>
        <v>366700</v>
      </c>
      <c r="F363" s="1">
        <f t="shared" si="58"/>
        <v>9804745.0231797118</v>
      </c>
      <c r="G363" s="1">
        <f t="shared" si="59"/>
        <v>4902372.5115898559</v>
      </c>
      <c r="H363" s="1">
        <f t="shared" si="60"/>
        <v>1960949.0046359422</v>
      </c>
      <c r="I363" s="1">
        <f t="shared" si="61"/>
        <v>980474.50231797108</v>
      </c>
      <c r="J363" s="1">
        <f t="shared" si="62"/>
        <v>653649.66821198072</v>
      </c>
      <c r="K363" s="1">
        <f t="shared" si="63"/>
        <v>326824.83410599036</v>
      </c>
      <c r="L363" s="1">
        <f t="shared" si="64"/>
        <v>98047.450231797106</v>
      </c>
      <c r="M363">
        <f t="shared" si="57"/>
        <v>1800000000</v>
      </c>
      <c r="N363" s="7"/>
    </row>
    <row r="364" spans="1:14" x14ac:dyDescent="0.25">
      <c r="A364">
        <f t="shared" si="65"/>
        <v>363</v>
      </c>
      <c r="B364" s="1">
        <v>300545100000000</v>
      </c>
      <c r="C364" s="1">
        <v>3595400000000</v>
      </c>
      <c r="D364">
        <f t="shared" si="56"/>
        <v>37.04</v>
      </c>
      <c r="E364" s="1">
        <f t="shared" si="55"/>
        <v>370400</v>
      </c>
      <c r="F364" s="1">
        <f t="shared" si="58"/>
        <v>9765388.768898489</v>
      </c>
      <c r="G364" s="1">
        <f t="shared" si="59"/>
        <v>4882694.3844492445</v>
      </c>
      <c r="H364" s="1">
        <f t="shared" si="60"/>
        <v>1953077.7537796977</v>
      </c>
      <c r="I364" s="1">
        <f t="shared" si="61"/>
        <v>976538.87688984885</v>
      </c>
      <c r="J364" s="1">
        <f t="shared" si="62"/>
        <v>651025.91792656586</v>
      </c>
      <c r="K364" s="1">
        <f t="shared" si="63"/>
        <v>325512.95896328293</v>
      </c>
      <c r="L364" s="1">
        <f t="shared" si="64"/>
        <v>97653.887688984876</v>
      </c>
      <c r="M364">
        <f t="shared" si="57"/>
        <v>1810000000</v>
      </c>
      <c r="N364" s="7"/>
    </row>
    <row r="365" spans="1:14" x14ac:dyDescent="0.25">
      <c r="A365">
        <f t="shared" si="65"/>
        <v>364</v>
      </c>
      <c r="B365" s="1">
        <v>304162200000000</v>
      </c>
      <c r="C365" s="1">
        <v>3617100000000</v>
      </c>
      <c r="D365">
        <f t="shared" si="56"/>
        <v>37.409999999999997</v>
      </c>
      <c r="E365" s="1">
        <f t="shared" si="55"/>
        <v>374099.99999999994</v>
      </c>
      <c r="F365" s="1">
        <f t="shared" si="58"/>
        <v>9726811.0130981039</v>
      </c>
      <c r="G365" s="1">
        <f t="shared" si="59"/>
        <v>4863405.506549052</v>
      </c>
      <c r="H365" s="1">
        <f t="shared" si="60"/>
        <v>1945362.2026196206</v>
      </c>
      <c r="I365" s="1">
        <f t="shared" si="61"/>
        <v>972681.1013098103</v>
      </c>
      <c r="J365" s="1">
        <f t="shared" si="62"/>
        <v>648454.06753987353</v>
      </c>
      <c r="K365" s="1">
        <f t="shared" si="63"/>
        <v>324227.03376993677</v>
      </c>
      <c r="L365" s="1">
        <f t="shared" si="64"/>
        <v>97268.110130981047</v>
      </c>
      <c r="M365">
        <f t="shared" si="57"/>
        <v>1820000000</v>
      </c>
      <c r="N365" s="7"/>
    </row>
    <row r="366" spans="1:14" x14ac:dyDescent="0.25">
      <c r="A366">
        <f t="shared" si="65"/>
        <v>365</v>
      </c>
      <c r="B366" s="1">
        <v>307801000000000</v>
      </c>
      <c r="C366" s="1">
        <v>3638800000000</v>
      </c>
      <c r="D366">
        <f t="shared" si="56"/>
        <v>37.78</v>
      </c>
      <c r="E366" s="1">
        <f t="shared" si="55"/>
        <v>377800</v>
      </c>
      <c r="F366" s="1">
        <f t="shared" si="58"/>
        <v>9688988.8830068819</v>
      </c>
      <c r="G366" s="1">
        <f t="shared" si="59"/>
        <v>4844494.441503441</v>
      </c>
      <c r="H366" s="1">
        <f t="shared" si="60"/>
        <v>1937797.7766013765</v>
      </c>
      <c r="I366" s="1">
        <f t="shared" si="61"/>
        <v>968898.88830068824</v>
      </c>
      <c r="J366" s="1">
        <f t="shared" si="62"/>
        <v>645932.59220045875</v>
      </c>
      <c r="K366" s="1">
        <f t="shared" si="63"/>
        <v>322966.29610022937</v>
      </c>
      <c r="L366" s="1">
        <f t="shared" si="64"/>
        <v>96889.888830068812</v>
      </c>
      <c r="M366">
        <f t="shared" si="57"/>
        <v>1830000000</v>
      </c>
      <c r="N366" s="7"/>
    </row>
    <row r="367" spans="1:14" x14ac:dyDescent="0.25">
      <c r="A367">
        <f t="shared" si="65"/>
        <v>366</v>
      </c>
      <c r="B367" s="1">
        <v>311461500000000</v>
      </c>
      <c r="C367" s="1">
        <v>3660500000000</v>
      </c>
      <c r="D367">
        <f t="shared" si="56"/>
        <v>38.159999999999997</v>
      </c>
      <c r="E367" s="1">
        <f t="shared" si="55"/>
        <v>381599.99999999994</v>
      </c>
      <c r="F367" s="1">
        <f t="shared" si="58"/>
        <v>9649371.0691823922</v>
      </c>
      <c r="G367" s="1">
        <f t="shared" si="59"/>
        <v>4824685.5345911961</v>
      </c>
      <c r="H367" s="1">
        <f t="shared" si="60"/>
        <v>1929874.2138364783</v>
      </c>
      <c r="I367" s="1">
        <f t="shared" si="61"/>
        <v>964937.10691823915</v>
      </c>
      <c r="J367" s="1">
        <f t="shared" si="62"/>
        <v>643291.40461215947</v>
      </c>
      <c r="K367" s="1">
        <f t="shared" si="63"/>
        <v>321645.70230607974</v>
      </c>
      <c r="L367" s="1">
        <f t="shared" si="64"/>
        <v>96493.710691823915</v>
      </c>
      <c r="M367">
        <f t="shared" si="57"/>
        <v>1840000000</v>
      </c>
      <c r="N367" s="7"/>
    </row>
    <row r="368" spans="1:14" x14ac:dyDescent="0.25">
      <c r="A368">
        <f t="shared" si="65"/>
        <v>367</v>
      </c>
      <c r="B368" s="1">
        <v>315143700000000</v>
      </c>
      <c r="C368" s="1">
        <v>3682200000000</v>
      </c>
      <c r="D368">
        <f t="shared" si="56"/>
        <v>38.54</v>
      </c>
      <c r="E368" s="1">
        <f t="shared" si="55"/>
        <v>385400</v>
      </c>
      <c r="F368" s="1">
        <f t="shared" si="58"/>
        <v>9610534.5096004158</v>
      </c>
      <c r="G368" s="1">
        <f t="shared" si="59"/>
        <v>4805267.2548002079</v>
      </c>
      <c r="H368" s="1">
        <f t="shared" si="60"/>
        <v>1922106.901920083</v>
      </c>
      <c r="I368" s="1">
        <f t="shared" si="61"/>
        <v>961053.45096004149</v>
      </c>
      <c r="J368" s="1">
        <f t="shared" si="62"/>
        <v>640702.30064002762</v>
      </c>
      <c r="K368" s="1">
        <f t="shared" si="63"/>
        <v>320351.15032001381</v>
      </c>
      <c r="L368" s="1">
        <f t="shared" si="64"/>
        <v>96105.345096004152</v>
      </c>
      <c r="M368">
        <f t="shared" si="57"/>
        <v>1850000000</v>
      </c>
      <c r="N368" s="7"/>
    </row>
    <row r="369" spans="1:14" x14ac:dyDescent="0.25">
      <c r="A369">
        <f t="shared" si="65"/>
        <v>368</v>
      </c>
      <c r="B369" s="1">
        <v>318847600000000</v>
      </c>
      <c r="C369" s="1">
        <v>3703900000000</v>
      </c>
      <c r="D369">
        <f t="shared" si="56"/>
        <v>38.93</v>
      </c>
      <c r="E369" s="1">
        <f t="shared" si="55"/>
        <v>389300</v>
      </c>
      <c r="F369" s="1">
        <f t="shared" si="58"/>
        <v>9569997.4312869254</v>
      </c>
      <c r="G369" s="1">
        <f t="shared" si="59"/>
        <v>4784998.7156434627</v>
      </c>
      <c r="H369" s="1">
        <f t="shared" si="60"/>
        <v>1913999.486257385</v>
      </c>
      <c r="I369" s="1">
        <f t="shared" si="61"/>
        <v>956999.7431286925</v>
      </c>
      <c r="J369" s="1">
        <f t="shared" si="62"/>
        <v>637999.8287524617</v>
      </c>
      <c r="K369" s="1">
        <f t="shared" si="63"/>
        <v>318999.91437623085</v>
      </c>
      <c r="L369" s="1">
        <f t="shared" si="64"/>
        <v>95699.97431286925</v>
      </c>
      <c r="M369">
        <f t="shared" si="57"/>
        <v>1860000000</v>
      </c>
      <c r="N369" s="7"/>
    </row>
    <row r="370" spans="1:14" x14ac:dyDescent="0.25">
      <c r="A370">
        <f t="shared" si="65"/>
        <v>369</v>
      </c>
      <c r="B370" s="1">
        <v>322573200000000</v>
      </c>
      <c r="C370" s="1">
        <v>3725600000000</v>
      </c>
      <c r="D370">
        <f t="shared" si="56"/>
        <v>39.32</v>
      </c>
      <c r="E370" s="1">
        <f t="shared" si="55"/>
        <v>393200</v>
      </c>
      <c r="F370" s="1">
        <f t="shared" si="58"/>
        <v>9530264.4964394718</v>
      </c>
      <c r="G370" s="1">
        <f t="shared" si="59"/>
        <v>4765132.2482197359</v>
      </c>
      <c r="H370" s="1">
        <f t="shared" si="60"/>
        <v>1906052.8992878941</v>
      </c>
      <c r="I370" s="1">
        <f t="shared" si="61"/>
        <v>953026.44964394707</v>
      </c>
      <c r="J370" s="1">
        <f t="shared" si="62"/>
        <v>635350.96642929805</v>
      </c>
      <c r="K370" s="1">
        <f t="shared" si="63"/>
        <v>317675.48321464902</v>
      </c>
      <c r="L370" s="1">
        <f t="shared" si="64"/>
        <v>95302.644964394713</v>
      </c>
      <c r="M370">
        <f t="shared" si="57"/>
        <v>1870000000</v>
      </c>
      <c r="N370" s="7"/>
    </row>
    <row r="371" spans="1:14" x14ac:dyDescent="0.25">
      <c r="A371">
        <f t="shared" si="65"/>
        <v>370</v>
      </c>
      <c r="B371" s="1">
        <v>326320500000000</v>
      </c>
      <c r="C371" s="1">
        <v>3747300000000</v>
      </c>
      <c r="D371">
        <f t="shared" si="56"/>
        <v>39.71</v>
      </c>
      <c r="E371" s="1">
        <f t="shared" si="55"/>
        <v>397100</v>
      </c>
      <c r="F371" s="1">
        <f t="shared" si="58"/>
        <v>9491312.0120876357</v>
      </c>
      <c r="G371" s="1">
        <f t="shared" si="59"/>
        <v>4745656.0060438178</v>
      </c>
      <c r="H371" s="1">
        <f t="shared" si="60"/>
        <v>1898262.402417527</v>
      </c>
      <c r="I371" s="1">
        <f t="shared" si="61"/>
        <v>949131.20120876352</v>
      </c>
      <c r="J371" s="1">
        <f t="shared" si="62"/>
        <v>632754.13413917564</v>
      </c>
      <c r="K371" s="1">
        <f t="shared" si="63"/>
        <v>316377.06706958782</v>
      </c>
      <c r="L371" s="1">
        <f t="shared" si="64"/>
        <v>94913.120120876352</v>
      </c>
      <c r="M371">
        <f t="shared" si="57"/>
        <v>1880000000</v>
      </c>
      <c r="N371" s="7"/>
    </row>
    <row r="372" spans="1:14" x14ac:dyDescent="0.25">
      <c r="A372">
        <f t="shared" si="65"/>
        <v>371</v>
      </c>
      <c r="B372" s="1">
        <v>330089500000000</v>
      </c>
      <c r="C372" s="1">
        <v>3769000000000</v>
      </c>
      <c r="D372">
        <f t="shared" si="56"/>
        <v>40.11</v>
      </c>
      <c r="E372" s="1">
        <f t="shared" si="55"/>
        <v>401100</v>
      </c>
      <c r="F372" s="1">
        <f t="shared" si="58"/>
        <v>9450760.4088755921</v>
      </c>
      <c r="G372" s="1">
        <f t="shared" si="59"/>
        <v>4725380.204437796</v>
      </c>
      <c r="H372" s="1">
        <f t="shared" si="60"/>
        <v>1890152.0817751184</v>
      </c>
      <c r="I372" s="1">
        <f t="shared" si="61"/>
        <v>945076.04088755918</v>
      </c>
      <c r="J372" s="1">
        <f t="shared" si="62"/>
        <v>630050.69392503949</v>
      </c>
      <c r="K372" s="1">
        <f t="shared" si="63"/>
        <v>315025.34696251975</v>
      </c>
      <c r="L372" s="1">
        <f t="shared" si="64"/>
        <v>94507.604088755921</v>
      </c>
      <c r="M372">
        <f t="shared" si="57"/>
        <v>1900000000</v>
      </c>
      <c r="N372" s="7"/>
    </row>
    <row r="373" spans="1:14" x14ac:dyDescent="0.25">
      <c r="A373">
        <f t="shared" si="65"/>
        <v>372</v>
      </c>
      <c r="B373" s="1">
        <v>333880200000000</v>
      </c>
      <c r="C373" s="1">
        <v>3790700000000</v>
      </c>
      <c r="D373">
        <f t="shared" si="56"/>
        <v>40.51</v>
      </c>
      <c r="E373" s="1">
        <f t="shared" si="55"/>
        <v>405100</v>
      </c>
      <c r="F373" s="1">
        <f t="shared" si="58"/>
        <v>9411009.6272525303</v>
      </c>
      <c r="G373" s="1">
        <f t="shared" si="59"/>
        <v>4705504.8136262652</v>
      </c>
      <c r="H373" s="1">
        <f t="shared" si="60"/>
        <v>1882201.9254505062</v>
      </c>
      <c r="I373" s="1">
        <f t="shared" si="61"/>
        <v>941100.96272525308</v>
      </c>
      <c r="J373" s="1">
        <f t="shared" si="62"/>
        <v>627400.64181683538</v>
      </c>
      <c r="K373" s="1">
        <f t="shared" si="63"/>
        <v>313700.32090841769</v>
      </c>
      <c r="L373" s="1">
        <f t="shared" si="64"/>
        <v>94110.096272525305</v>
      </c>
      <c r="M373">
        <f t="shared" si="57"/>
        <v>1910000000</v>
      </c>
      <c r="N373" s="7"/>
    </row>
    <row r="374" spans="1:14" x14ac:dyDescent="0.25">
      <c r="A374">
        <f t="shared" si="65"/>
        <v>373</v>
      </c>
      <c r="B374" s="1">
        <v>337692600000000</v>
      </c>
      <c r="C374" s="1">
        <v>3812400000000</v>
      </c>
      <c r="D374">
        <f t="shared" si="56"/>
        <v>40.909999999999997</v>
      </c>
      <c r="E374" s="1">
        <f t="shared" si="55"/>
        <v>409099.99999999994</v>
      </c>
      <c r="F374" s="1">
        <f t="shared" si="58"/>
        <v>9372036.1769738458</v>
      </c>
      <c r="G374" s="1">
        <f t="shared" si="59"/>
        <v>4686018.0884869229</v>
      </c>
      <c r="H374" s="1">
        <f t="shared" si="60"/>
        <v>1874407.2353947691</v>
      </c>
      <c r="I374" s="1">
        <f t="shared" si="61"/>
        <v>937203.61769738456</v>
      </c>
      <c r="J374" s="1">
        <f t="shared" si="62"/>
        <v>624802.41179825645</v>
      </c>
      <c r="K374" s="1">
        <f t="shared" si="63"/>
        <v>312401.20589912822</v>
      </c>
      <c r="L374" s="1">
        <f t="shared" si="64"/>
        <v>93720.361769738462</v>
      </c>
      <c r="M374">
        <f t="shared" si="57"/>
        <v>1920000000</v>
      </c>
      <c r="N374" s="7"/>
    </row>
    <row r="375" spans="1:14" x14ac:dyDescent="0.25">
      <c r="A375">
        <f t="shared" si="65"/>
        <v>374</v>
      </c>
      <c r="B375" s="1">
        <v>341526700000000</v>
      </c>
      <c r="C375" s="1">
        <v>3834100000000</v>
      </c>
      <c r="D375">
        <f t="shared" si="56"/>
        <v>41.32</v>
      </c>
      <c r="E375" s="1">
        <f t="shared" si="55"/>
        <v>413200</v>
      </c>
      <c r="F375" s="1">
        <f t="shared" si="58"/>
        <v>9331558.5672797672</v>
      </c>
      <c r="G375" s="1">
        <f t="shared" si="59"/>
        <v>4665779.2836398836</v>
      </c>
      <c r="H375" s="1">
        <f t="shared" si="60"/>
        <v>1866311.7134559536</v>
      </c>
      <c r="I375" s="1">
        <f t="shared" si="61"/>
        <v>933155.85672797682</v>
      </c>
      <c r="J375" s="1">
        <f t="shared" si="62"/>
        <v>622103.90448531788</v>
      </c>
      <c r="K375" s="1">
        <f t="shared" si="63"/>
        <v>311051.95224265894</v>
      </c>
      <c r="L375" s="1">
        <f t="shared" si="64"/>
        <v>93315.585672797679</v>
      </c>
      <c r="M375">
        <f t="shared" si="57"/>
        <v>1930000000</v>
      </c>
      <c r="N375" s="7"/>
    </row>
    <row r="376" spans="1:14" x14ac:dyDescent="0.25">
      <c r="A376">
        <f t="shared" si="65"/>
        <v>375</v>
      </c>
      <c r="B376" s="1">
        <v>345382500000000</v>
      </c>
      <c r="C376" s="1">
        <v>3855800000000</v>
      </c>
      <c r="D376">
        <f t="shared" si="56"/>
        <v>41.74</v>
      </c>
      <c r="E376" s="1">
        <f t="shared" si="55"/>
        <v>417400</v>
      </c>
      <c r="F376" s="1">
        <f t="shared" si="58"/>
        <v>9289650.2156205084</v>
      </c>
      <c r="G376" s="1">
        <f t="shared" si="59"/>
        <v>4644825.1078102542</v>
      </c>
      <c r="H376" s="1">
        <f t="shared" si="60"/>
        <v>1857930.0431241016</v>
      </c>
      <c r="I376" s="1">
        <f t="shared" si="61"/>
        <v>928965.0215620508</v>
      </c>
      <c r="J376" s="1">
        <f t="shared" si="62"/>
        <v>619310.01437470049</v>
      </c>
      <c r="K376" s="1">
        <f t="shared" si="63"/>
        <v>309655.00718735025</v>
      </c>
      <c r="L376" s="1">
        <f t="shared" si="64"/>
        <v>92896.502156205082</v>
      </c>
      <c r="M376">
        <f t="shared" si="57"/>
        <v>1940000000</v>
      </c>
      <c r="N376" s="7"/>
    </row>
    <row r="377" spans="1:14" x14ac:dyDescent="0.25">
      <c r="A377">
        <f t="shared" si="65"/>
        <v>376</v>
      </c>
      <c r="B377" s="1">
        <v>349260000000000</v>
      </c>
      <c r="C377" s="1">
        <v>3877500000000</v>
      </c>
      <c r="D377">
        <f t="shared" si="56"/>
        <v>42.15</v>
      </c>
      <c r="E377" s="1">
        <f t="shared" si="55"/>
        <v>421500</v>
      </c>
      <c r="F377" s="1">
        <f t="shared" si="58"/>
        <v>9250771.0557532627</v>
      </c>
      <c r="G377" s="1">
        <f t="shared" si="59"/>
        <v>4625385.5278766314</v>
      </c>
      <c r="H377" s="1">
        <f t="shared" si="60"/>
        <v>1850154.2111506525</v>
      </c>
      <c r="I377" s="1">
        <f t="shared" si="61"/>
        <v>925077.10557532625</v>
      </c>
      <c r="J377" s="1">
        <f t="shared" si="62"/>
        <v>616718.07038355083</v>
      </c>
      <c r="K377" s="1">
        <f t="shared" si="63"/>
        <v>308359.03519177542</v>
      </c>
      <c r="L377" s="1">
        <f t="shared" si="64"/>
        <v>92507.710557532628</v>
      </c>
      <c r="M377">
        <f t="shared" si="57"/>
        <v>1950000000</v>
      </c>
      <c r="N377" s="7"/>
    </row>
    <row r="378" spans="1:14" x14ac:dyDescent="0.25">
      <c r="A378">
        <f t="shared" si="65"/>
        <v>377</v>
      </c>
      <c r="B378" s="1">
        <v>353159200000000</v>
      </c>
      <c r="C378" s="1">
        <v>3899200000000</v>
      </c>
      <c r="D378">
        <f t="shared" si="56"/>
        <v>42.58</v>
      </c>
      <c r="E378" s="1">
        <f t="shared" si="55"/>
        <v>425800</v>
      </c>
      <c r="F378" s="1">
        <f t="shared" si="58"/>
        <v>9208313.762329733</v>
      </c>
      <c r="G378" s="1">
        <f t="shared" si="59"/>
        <v>4604156.8811648665</v>
      </c>
      <c r="H378" s="1">
        <f t="shared" si="60"/>
        <v>1841662.7524659464</v>
      </c>
      <c r="I378" s="1">
        <f t="shared" si="61"/>
        <v>920831.37623297318</v>
      </c>
      <c r="J378" s="1">
        <f t="shared" si="62"/>
        <v>613887.58415531553</v>
      </c>
      <c r="K378" s="1">
        <f t="shared" si="63"/>
        <v>306943.79207765777</v>
      </c>
      <c r="L378" s="1">
        <f t="shared" si="64"/>
        <v>92083.137623297327</v>
      </c>
      <c r="M378">
        <f t="shared" si="57"/>
        <v>1960000000</v>
      </c>
      <c r="N378" s="7"/>
    </row>
    <row r="379" spans="1:14" x14ac:dyDescent="0.25">
      <c r="A379">
        <f t="shared" si="65"/>
        <v>378</v>
      </c>
      <c r="B379" s="1">
        <v>357080100000000</v>
      </c>
      <c r="C379" s="1">
        <v>3920900000000</v>
      </c>
      <c r="D379">
        <f t="shared" si="56"/>
        <v>43</v>
      </c>
      <c r="E379" s="1">
        <f t="shared" si="55"/>
        <v>430000</v>
      </c>
      <c r="F379" s="1">
        <f t="shared" si="58"/>
        <v>9168837.2093023248</v>
      </c>
      <c r="G379" s="1">
        <f t="shared" si="59"/>
        <v>4584418.6046511624</v>
      </c>
      <c r="H379" s="1">
        <f t="shared" si="60"/>
        <v>1833767.4418604651</v>
      </c>
      <c r="I379" s="1">
        <f t="shared" si="61"/>
        <v>916883.72093023255</v>
      </c>
      <c r="J379" s="1">
        <f t="shared" si="62"/>
        <v>611255.81395348837</v>
      </c>
      <c r="K379" s="1">
        <f t="shared" si="63"/>
        <v>305627.90697674418</v>
      </c>
      <c r="L379" s="1">
        <f t="shared" si="64"/>
        <v>91688.372093023252</v>
      </c>
      <c r="M379">
        <f t="shared" si="57"/>
        <v>1970000000</v>
      </c>
      <c r="N379" s="7"/>
    </row>
    <row r="380" spans="1:14" x14ac:dyDescent="0.25">
      <c r="A380">
        <f t="shared" si="65"/>
        <v>379</v>
      </c>
      <c r="B380" s="1">
        <v>361022700000000</v>
      </c>
      <c r="C380" s="1">
        <v>3942600000000</v>
      </c>
      <c r="D380">
        <f t="shared" si="56"/>
        <v>43.43</v>
      </c>
      <c r="E380" s="1">
        <f t="shared" si="55"/>
        <v>434300</v>
      </c>
      <c r="F380" s="1">
        <f t="shared" si="58"/>
        <v>9128022.1045360342</v>
      </c>
      <c r="G380" s="1">
        <f t="shared" si="59"/>
        <v>4564011.0522680171</v>
      </c>
      <c r="H380" s="1">
        <f t="shared" si="60"/>
        <v>1825604.4209072071</v>
      </c>
      <c r="I380" s="1">
        <f t="shared" si="61"/>
        <v>912802.21045360353</v>
      </c>
      <c r="J380" s="1">
        <f t="shared" si="62"/>
        <v>608534.80696906894</v>
      </c>
      <c r="K380" s="1">
        <f t="shared" si="63"/>
        <v>304267.40348453447</v>
      </c>
      <c r="L380" s="1">
        <f t="shared" si="64"/>
        <v>91280.221045360347</v>
      </c>
      <c r="M380">
        <f t="shared" si="57"/>
        <v>1980000000</v>
      </c>
      <c r="N380" s="7"/>
    </row>
    <row r="381" spans="1:14" x14ac:dyDescent="0.25">
      <c r="A381">
        <f t="shared" si="65"/>
        <v>380</v>
      </c>
      <c r="B381" s="1">
        <v>364987000000000</v>
      </c>
      <c r="C381" s="1">
        <v>3964300000000</v>
      </c>
      <c r="D381">
        <f t="shared" si="56"/>
        <v>43.87</v>
      </c>
      <c r="E381" s="1">
        <f t="shared" si="55"/>
        <v>438700</v>
      </c>
      <c r="F381" s="1">
        <f t="shared" si="58"/>
        <v>9085935.7191702761</v>
      </c>
      <c r="G381" s="1">
        <f t="shared" si="59"/>
        <v>4542967.859585138</v>
      </c>
      <c r="H381" s="1">
        <f t="shared" si="60"/>
        <v>1817187.1438340552</v>
      </c>
      <c r="I381" s="1">
        <f t="shared" si="61"/>
        <v>908593.57191702758</v>
      </c>
      <c r="J381" s="1">
        <f t="shared" si="62"/>
        <v>605729.04794468509</v>
      </c>
      <c r="K381" s="1">
        <f t="shared" si="63"/>
        <v>302864.52397234255</v>
      </c>
      <c r="L381" s="1">
        <f t="shared" si="64"/>
        <v>90859.357191702758</v>
      </c>
      <c r="M381">
        <f t="shared" si="57"/>
        <v>1990000000</v>
      </c>
      <c r="N381" s="7"/>
    </row>
    <row r="382" spans="1:14" x14ac:dyDescent="0.25">
      <c r="A382">
        <f t="shared" si="65"/>
        <v>381</v>
      </c>
      <c r="B382" s="1">
        <v>368973000000000</v>
      </c>
      <c r="C382" s="1">
        <v>3986000000000</v>
      </c>
      <c r="D382">
        <f t="shared" si="56"/>
        <v>44.3</v>
      </c>
      <c r="E382" s="1">
        <f t="shared" si="55"/>
        <v>443000</v>
      </c>
      <c r="F382" s="1">
        <f t="shared" si="58"/>
        <v>9046726.862302484</v>
      </c>
      <c r="G382" s="1">
        <f t="shared" si="59"/>
        <v>4523363.431151242</v>
      </c>
      <c r="H382" s="1">
        <f t="shared" si="60"/>
        <v>1809345.3724604966</v>
      </c>
      <c r="I382" s="1">
        <f t="shared" si="61"/>
        <v>904672.68623024831</v>
      </c>
      <c r="J382" s="1">
        <f t="shared" si="62"/>
        <v>603115.12415349891</v>
      </c>
      <c r="K382" s="1">
        <f t="shared" si="63"/>
        <v>301557.56207674945</v>
      </c>
      <c r="L382" s="1">
        <f t="shared" si="64"/>
        <v>90467.268623024836</v>
      </c>
      <c r="M382">
        <f t="shared" si="57"/>
        <v>2000000000</v>
      </c>
      <c r="N382" s="7"/>
    </row>
    <row r="383" spans="1:14" x14ac:dyDescent="0.25">
      <c r="A383">
        <f t="shared" si="65"/>
        <v>382</v>
      </c>
      <c r="B383" s="1">
        <v>372980700000000</v>
      </c>
      <c r="C383" s="1">
        <v>4007700000000</v>
      </c>
      <c r="D383">
        <f t="shared" si="56"/>
        <v>44.75</v>
      </c>
      <c r="E383" s="1">
        <f t="shared" si="55"/>
        <v>447500</v>
      </c>
      <c r="F383" s="1">
        <f t="shared" si="58"/>
        <v>9004245.8100558668</v>
      </c>
      <c r="G383" s="1">
        <f t="shared" si="59"/>
        <v>4502122.9050279334</v>
      </c>
      <c r="H383" s="1">
        <f t="shared" si="60"/>
        <v>1800849.1620111731</v>
      </c>
      <c r="I383" s="1">
        <f t="shared" si="61"/>
        <v>900424.58100558654</v>
      </c>
      <c r="J383" s="1">
        <f t="shared" si="62"/>
        <v>600283.05400372436</v>
      </c>
      <c r="K383" s="1">
        <f t="shared" si="63"/>
        <v>300141.52700186218</v>
      </c>
      <c r="L383" s="1">
        <f t="shared" si="64"/>
        <v>90042.458100558666</v>
      </c>
      <c r="M383">
        <f t="shared" si="57"/>
        <v>2010000000</v>
      </c>
      <c r="N383" s="7"/>
    </row>
    <row r="384" spans="1:14" x14ac:dyDescent="0.25">
      <c r="A384">
        <f t="shared" si="65"/>
        <v>383</v>
      </c>
      <c r="B384" s="1">
        <v>377010100000000</v>
      </c>
      <c r="C384" s="1">
        <v>4029400000000</v>
      </c>
      <c r="D384">
        <f t="shared" si="56"/>
        <v>45.19</v>
      </c>
      <c r="E384" s="1">
        <f t="shared" si="55"/>
        <v>451900</v>
      </c>
      <c r="F384" s="1">
        <f t="shared" si="58"/>
        <v>8964593.9367116615</v>
      </c>
      <c r="G384" s="1">
        <f t="shared" si="59"/>
        <v>4482296.9683558308</v>
      </c>
      <c r="H384" s="1">
        <f t="shared" si="60"/>
        <v>1792918.7873423323</v>
      </c>
      <c r="I384" s="1">
        <f t="shared" si="61"/>
        <v>896459.39367116615</v>
      </c>
      <c r="J384" s="1">
        <f t="shared" si="62"/>
        <v>597639.59578077751</v>
      </c>
      <c r="K384" s="1">
        <f t="shared" si="63"/>
        <v>298819.79789038876</v>
      </c>
      <c r="L384" s="1">
        <f t="shared" si="64"/>
        <v>89645.939367116618</v>
      </c>
      <c r="M384">
        <f t="shared" si="57"/>
        <v>2030000000</v>
      </c>
      <c r="N384" s="7"/>
    </row>
    <row r="385" spans="1:14" x14ac:dyDescent="0.25">
      <c r="A385">
        <f t="shared" si="65"/>
        <v>384</v>
      </c>
      <c r="B385" s="1">
        <v>381061200000000</v>
      </c>
      <c r="C385" s="1">
        <v>4051100000000</v>
      </c>
      <c r="D385">
        <f t="shared" si="56"/>
        <v>45.65</v>
      </c>
      <c r="E385" s="1">
        <f t="shared" si="55"/>
        <v>456500</v>
      </c>
      <c r="F385" s="1">
        <f t="shared" si="58"/>
        <v>8921796.2760131434</v>
      </c>
      <c r="G385" s="1">
        <f t="shared" si="59"/>
        <v>4460898.1380065717</v>
      </c>
      <c r="H385" s="1">
        <f t="shared" si="60"/>
        <v>1784359.2552026287</v>
      </c>
      <c r="I385" s="1">
        <f t="shared" si="61"/>
        <v>892179.62760131434</v>
      </c>
      <c r="J385" s="1">
        <f t="shared" si="62"/>
        <v>594786.41840087622</v>
      </c>
      <c r="K385" s="1">
        <f t="shared" si="63"/>
        <v>297393.20920043811</v>
      </c>
      <c r="L385" s="1">
        <f t="shared" si="64"/>
        <v>89217.962760131428</v>
      </c>
      <c r="M385">
        <f t="shared" si="57"/>
        <v>2040000000</v>
      </c>
      <c r="N385" s="7"/>
    </row>
    <row r="386" spans="1:14" x14ac:dyDescent="0.25">
      <c r="A386">
        <f t="shared" si="65"/>
        <v>385</v>
      </c>
      <c r="B386" s="1">
        <v>385134000000000</v>
      </c>
      <c r="C386" s="1">
        <v>4072800000000</v>
      </c>
      <c r="D386">
        <f t="shared" si="56"/>
        <v>46.1</v>
      </c>
      <c r="E386" s="1">
        <f t="shared" ref="E386:E449" si="66">+D386*10000</f>
        <v>461000</v>
      </c>
      <c r="F386" s="1">
        <f t="shared" si="58"/>
        <v>8881778.7418655101</v>
      </c>
      <c r="G386" s="1">
        <f t="shared" si="59"/>
        <v>4440889.3709327551</v>
      </c>
      <c r="H386" s="1">
        <f t="shared" si="60"/>
        <v>1776355.7483731019</v>
      </c>
      <c r="I386" s="1">
        <f t="shared" si="61"/>
        <v>888177.87418655097</v>
      </c>
      <c r="J386" s="1">
        <f t="shared" si="62"/>
        <v>592118.58279103402</v>
      </c>
      <c r="K386" s="1">
        <f t="shared" si="63"/>
        <v>296059.29139551701</v>
      </c>
      <c r="L386" s="1">
        <f t="shared" si="64"/>
        <v>88817.787418655091</v>
      </c>
      <c r="M386">
        <f t="shared" si="57"/>
        <v>2050000000</v>
      </c>
      <c r="N386" s="7"/>
    </row>
    <row r="387" spans="1:14" x14ac:dyDescent="0.25">
      <c r="A387">
        <f t="shared" si="65"/>
        <v>386</v>
      </c>
      <c r="B387" s="1">
        <v>389228500000000</v>
      </c>
      <c r="C387" s="1">
        <v>4094500000000</v>
      </c>
      <c r="D387">
        <f t="shared" ref="D387:D450" si="67">ROUND(1.01^A387,2)</f>
        <v>46.56</v>
      </c>
      <c r="E387" s="1">
        <f t="shared" si="66"/>
        <v>465600</v>
      </c>
      <c r="F387" s="1">
        <f t="shared" si="58"/>
        <v>8840635.7388316151</v>
      </c>
      <c r="G387" s="1">
        <f t="shared" si="59"/>
        <v>4420317.8694158075</v>
      </c>
      <c r="H387" s="1">
        <f t="shared" si="60"/>
        <v>1768127.1477663231</v>
      </c>
      <c r="I387" s="1">
        <f t="shared" si="61"/>
        <v>884063.57388316153</v>
      </c>
      <c r="J387" s="1">
        <f t="shared" si="62"/>
        <v>589375.71592210769</v>
      </c>
      <c r="K387" s="1">
        <f t="shared" si="63"/>
        <v>294687.85796105384</v>
      </c>
      <c r="L387" s="1">
        <f t="shared" si="64"/>
        <v>88406.357388316144</v>
      </c>
      <c r="M387">
        <f t="shared" ref="M387:M450" si="68">ROUND(MAX(E388*6.3*10%,C388*0.05%),-MAX(2,INT(LOG10(MAX(E388*6.3*10%,C388*0.05%)))-2))</f>
        <v>2060000000</v>
      </c>
      <c r="N387" s="7"/>
    </row>
    <row r="388" spans="1:14" x14ac:dyDescent="0.25">
      <c r="A388">
        <f t="shared" si="65"/>
        <v>387</v>
      </c>
      <c r="B388" s="1">
        <v>393344700000000</v>
      </c>
      <c r="C388" s="1">
        <v>4116200000000</v>
      </c>
      <c r="D388">
        <f t="shared" si="67"/>
        <v>47.03</v>
      </c>
      <c r="E388" s="1">
        <f t="shared" si="66"/>
        <v>470300</v>
      </c>
      <c r="F388" s="1">
        <f t="shared" ref="F388:F451" si="69">$C389/($E388*1)</f>
        <v>8798426.536253456</v>
      </c>
      <c r="G388" s="1">
        <f t="shared" ref="G388:G451" si="70">$C389/($E388*2)</f>
        <v>4399213.268126728</v>
      </c>
      <c r="H388" s="1">
        <f t="shared" ref="H388:H451" si="71">$C389/($E388*5)</f>
        <v>1759685.3072506911</v>
      </c>
      <c r="I388" s="1">
        <f t="shared" ref="I388:I451" si="72">$C389/($E388*10)</f>
        <v>879842.65362534556</v>
      </c>
      <c r="J388" s="1">
        <f t="shared" ref="J388:J451" si="73">$C389/($E388*15)</f>
        <v>586561.7690835637</v>
      </c>
      <c r="K388" s="1">
        <f t="shared" ref="K388:K451" si="74">$C389/($E388*30)</f>
        <v>293280.88454178185</v>
      </c>
      <c r="L388" s="1">
        <f t="shared" ref="L388:L451" si="75">$C389/($E388*100)</f>
        <v>87984.265362534556</v>
      </c>
      <c r="M388">
        <f t="shared" si="68"/>
        <v>2070000000</v>
      </c>
      <c r="N388" s="7"/>
    </row>
    <row r="389" spans="1:14" x14ac:dyDescent="0.25">
      <c r="A389">
        <f t="shared" ref="A389:A452" si="76">+A388+1</f>
        <v>388</v>
      </c>
      <c r="B389" s="1">
        <v>397482600000000</v>
      </c>
      <c r="C389" s="1">
        <v>4137900000000</v>
      </c>
      <c r="D389">
        <f t="shared" si="67"/>
        <v>47.5</v>
      </c>
      <c r="E389" s="1">
        <f t="shared" si="66"/>
        <v>475000</v>
      </c>
      <c r="F389" s="1">
        <f t="shared" si="69"/>
        <v>8757052.6315789465</v>
      </c>
      <c r="G389" s="1">
        <f t="shared" si="70"/>
        <v>4378526.3157894732</v>
      </c>
      <c r="H389" s="1">
        <f t="shared" si="71"/>
        <v>1751410.5263157894</v>
      </c>
      <c r="I389" s="1">
        <f t="shared" si="72"/>
        <v>875705.26315789472</v>
      </c>
      <c r="J389" s="1">
        <f t="shared" si="73"/>
        <v>583803.50877192977</v>
      </c>
      <c r="K389" s="1">
        <f t="shared" si="74"/>
        <v>291901.75438596489</v>
      </c>
      <c r="L389" s="1">
        <f t="shared" si="75"/>
        <v>87570.526315789481</v>
      </c>
      <c r="M389">
        <f t="shared" si="68"/>
        <v>2080000000</v>
      </c>
      <c r="N389" s="7"/>
    </row>
    <row r="390" spans="1:14" x14ac:dyDescent="0.25">
      <c r="A390">
        <f t="shared" si="76"/>
        <v>389</v>
      </c>
      <c r="B390" s="1">
        <v>401642200000000</v>
      </c>
      <c r="C390" s="1">
        <v>4159600000000</v>
      </c>
      <c r="D390">
        <f t="shared" si="67"/>
        <v>47.97</v>
      </c>
      <c r="E390" s="1">
        <f t="shared" si="66"/>
        <v>479700</v>
      </c>
      <c r="F390" s="1">
        <f t="shared" si="69"/>
        <v>8716489.4725870341</v>
      </c>
      <c r="G390" s="1">
        <f t="shared" si="70"/>
        <v>4358244.7362935171</v>
      </c>
      <c r="H390" s="1">
        <f t="shared" si="71"/>
        <v>1743297.8945174068</v>
      </c>
      <c r="I390" s="1">
        <f t="shared" si="72"/>
        <v>871648.94725870341</v>
      </c>
      <c r="J390" s="1">
        <f t="shared" si="73"/>
        <v>581099.2981724689</v>
      </c>
      <c r="K390" s="1">
        <f t="shared" si="74"/>
        <v>290549.64908623445</v>
      </c>
      <c r="L390" s="1">
        <f t="shared" si="75"/>
        <v>87164.894725870341</v>
      </c>
      <c r="M390">
        <f t="shared" si="68"/>
        <v>2090000000</v>
      </c>
      <c r="N390" s="7"/>
    </row>
    <row r="391" spans="1:14" x14ac:dyDescent="0.25">
      <c r="A391">
        <f t="shared" si="76"/>
        <v>390</v>
      </c>
      <c r="B391" s="1">
        <v>405823500000000</v>
      </c>
      <c r="C391" s="1">
        <v>4181300000000</v>
      </c>
      <c r="D391">
        <f t="shared" si="67"/>
        <v>48.45</v>
      </c>
      <c r="E391" s="1">
        <f t="shared" si="66"/>
        <v>484500</v>
      </c>
      <c r="F391" s="1">
        <f t="shared" si="69"/>
        <v>8674922.600619195</v>
      </c>
      <c r="G391" s="1">
        <f t="shared" si="70"/>
        <v>4337461.3003095975</v>
      </c>
      <c r="H391" s="1">
        <f t="shared" si="71"/>
        <v>1734984.5201238389</v>
      </c>
      <c r="I391" s="1">
        <f t="shared" si="72"/>
        <v>867492.26006191946</v>
      </c>
      <c r="J391" s="1">
        <f t="shared" si="73"/>
        <v>578328.17337461305</v>
      </c>
      <c r="K391" s="1">
        <f t="shared" si="74"/>
        <v>289164.08668730652</v>
      </c>
      <c r="L391" s="1">
        <f t="shared" si="75"/>
        <v>86749.226006191951</v>
      </c>
      <c r="M391">
        <f t="shared" si="68"/>
        <v>2100000000</v>
      </c>
      <c r="N391" s="7"/>
    </row>
    <row r="392" spans="1:14" x14ac:dyDescent="0.25">
      <c r="A392">
        <f t="shared" si="76"/>
        <v>391</v>
      </c>
      <c r="B392" s="1">
        <v>410026500000000</v>
      </c>
      <c r="C392" s="1">
        <v>4203000000000</v>
      </c>
      <c r="D392">
        <f t="shared" si="67"/>
        <v>48.94</v>
      </c>
      <c r="E392" s="1">
        <f t="shared" si="66"/>
        <v>489400</v>
      </c>
      <c r="F392" s="1">
        <f t="shared" si="69"/>
        <v>8632407.0290151201</v>
      </c>
      <c r="G392" s="1">
        <f t="shared" si="70"/>
        <v>4316203.5145075601</v>
      </c>
      <c r="H392" s="1">
        <f t="shared" si="71"/>
        <v>1726481.4058030241</v>
      </c>
      <c r="I392" s="1">
        <f t="shared" si="72"/>
        <v>863240.70290151204</v>
      </c>
      <c r="J392" s="1">
        <f t="shared" si="73"/>
        <v>575493.80193434132</v>
      </c>
      <c r="K392" s="1">
        <f t="shared" si="74"/>
        <v>287746.90096717066</v>
      </c>
      <c r="L392" s="1">
        <f t="shared" si="75"/>
        <v>86324.070290151212</v>
      </c>
      <c r="M392">
        <f t="shared" si="68"/>
        <v>2110000000</v>
      </c>
      <c r="N392" s="7"/>
    </row>
    <row r="393" spans="1:14" x14ac:dyDescent="0.25">
      <c r="A393">
        <f t="shared" si="76"/>
        <v>392</v>
      </c>
      <c r="B393" s="1">
        <v>414251200000000</v>
      </c>
      <c r="C393" s="1">
        <v>4224700000000</v>
      </c>
      <c r="D393">
        <f t="shared" si="67"/>
        <v>49.43</v>
      </c>
      <c r="E393" s="1">
        <f t="shared" si="66"/>
        <v>494300</v>
      </c>
      <c r="F393" s="1">
        <f t="shared" si="69"/>
        <v>8590734.3718389645</v>
      </c>
      <c r="G393" s="1">
        <f t="shared" si="70"/>
        <v>4295367.1859194823</v>
      </c>
      <c r="H393" s="1">
        <f t="shared" si="71"/>
        <v>1718146.8743677929</v>
      </c>
      <c r="I393" s="1">
        <f t="shared" si="72"/>
        <v>859073.43718389643</v>
      </c>
      <c r="J393" s="1">
        <f t="shared" si="73"/>
        <v>572715.62478926429</v>
      </c>
      <c r="K393" s="1">
        <f t="shared" si="74"/>
        <v>286357.81239463214</v>
      </c>
      <c r="L393" s="1">
        <f t="shared" si="75"/>
        <v>85907.343718389646</v>
      </c>
      <c r="M393">
        <f t="shared" si="68"/>
        <v>2120000000</v>
      </c>
      <c r="N393" s="7"/>
    </row>
    <row r="394" spans="1:14" x14ac:dyDescent="0.25">
      <c r="A394">
        <f t="shared" si="76"/>
        <v>393</v>
      </c>
      <c r="B394" s="1">
        <v>418497600000000</v>
      </c>
      <c r="C394" s="1">
        <v>4246400000000</v>
      </c>
      <c r="D394">
        <f t="shared" si="67"/>
        <v>49.92</v>
      </c>
      <c r="E394" s="1">
        <f t="shared" si="66"/>
        <v>499200</v>
      </c>
      <c r="F394" s="1">
        <f t="shared" si="69"/>
        <v>8549879.807692308</v>
      </c>
      <c r="G394" s="1">
        <f t="shared" si="70"/>
        <v>4274939.903846154</v>
      </c>
      <c r="H394" s="1">
        <f t="shared" si="71"/>
        <v>1709975.9615384615</v>
      </c>
      <c r="I394" s="1">
        <f t="shared" si="72"/>
        <v>854987.98076923075</v>
      </c>
      <c r="J394" s="1">
        <f t="shared" si="73"/>
        <v>569991.98717948713</v>
      </c>
      <c r="K394" s="1">
        <f t="shared" si="74"/>
        <v>284995.99358974356</v>
      </c>
      <c r="L394" s="1">
        <f t="shared" si="75"/>
        <v>85498.798076923078</v>
      </c>
      <c r="M394">
        <f t="shared" si="68"/>
        <v>2130000000</v>
      </c>
      <c r="N394" s="7"/>
    </row>
    <row r="395" spans="1:14" x14ac:dyDescent="0.25">
      <c r="A395">
        <f t="shared" si="76"/>
        <v>394</v>
      </c>
      <c r="B395" s="1">
        <v>422765700000000</v>
      </c>
      <c r="C395" s="1">
        <v>4268100000000</v>
      </c>
      <c r="D395">
        <f t="shared" si="67"/>
        <v>50.42</v>
      </c>
      <c r="E395" s="1">
        <f t="shared" si="66"/>
        <v>504200</v>
      </c>
      <c r="F395" s="1">
        <f t="shared" si="69"/>
        <v>8508131.6937723123</v>
      </c>
      <c r="G395" s="1">
        <f t="shared" si="70"/>
        <v>4254065.8468861561</v>
      </c>
      <c r="H395" s="1">
        <f t="shared" si="71"/>
        <v>1701626.3387544625</v>
      </c>
      <c r="I395" s="1">
        <f t="shared" si="72"/>
        <v>850813.16937723127</v>
      </c>
      <c r="J395" s="1">
        <f t="shared" si="73"/>
        <v>567208.77958482085</v>
      </c>
      <c r="K395" s="1">
        <f t="shared" si="74"/>
        <v>283604.38979241042</v>
      </c>
      <c r="L395" s="1">
        <f t="shared" si="75"/>
        <v>85081.316937723124</v>
      </c>
      <c r="M395">
        <f t="shared" si="68"/>
        <v>2140000000</v>
      </c>
      <c r="N395" s="7"/>
    </row>
    <row r="396" spans="1:14" x14ac:dyDescent="0.25">
      <c r="A396">
        <f t="shared" si="76"/>
        <v>395</v>
      </c>
      <c r="B396" s="1">
        <v>427055500000000</v>
      </c>
      <c r="C396" s="1">
        <v>4289800000000</v>
      </c>
      <c r="D396">
        <f t="shared" si="67"/>
        <v>50.93</v>
      </c>
      <c r="E396" s="1">
        <f t="shared" si="66"/>
        <v>509300</v>
      </c>
      <c r="F396" s="1">
        <f t="shared" si="69"/>
        <v>8465540.938543098</v>
      </c>
      <c r="G396" s="1">
        <f t="shared" si="70"/>
        <v>4232770.469271549</v>
      </c>
      <c r="H396" s="1">
        <f t="shared" si="71"/>
        <v>1693108.1877086197</v>
      </c>
      <c r="I396" s="1">
        <f t="shared" si="72"/>
        <v>846554.09385430987</v>
      </c>
      <c r="J396" s="1">
        <f t="shared" si="73"/>
        <v>564369.39590287325</v>
      </c>
      <c r="K396" s="1">
        <f t="shared" si="74"/>
        <v>282184.69795143662</v>
      </c>
      <c r="L396" s="1">
        <f t="shared" si="75"/>
        <v>84655.40938543099</v>
      </c>
      <c r="M396">
        <f t="shared" si="68"/>
        <v>2160000000</v>
      </c>
      <c r="N396" s="7"/>
    </row>
    <row r="397" spans="1:14" x14ac:dyDescent="0.25">
      <c r="A397">
        <f t="shared" si="76"/>
        <v>396</v>
      </c>
      <c r="B397" s="1">
        <v>431367000000000</v>
      </c>
      <c r="C397" s="1">
        <v>4311500000000</v>
      </c>
      <c r="D397">
        <f t="shared" si="67"/>
        <v>51.44</v>
      </c>
      <c r="E397" s="1">
        <f t="shared" si="66"/>
        <v>514400</v>
      </c>
      <c r="F397" s="1">
        <f t="shared" si="69"/>
        <v>8423794.7122861594</v>
      </c>
      <c r="G397" s="1">
        <f t="shared" si="70"/>
        <v>4211897.3561430797</v>
      </c>
      <c r="H397" s="1">
        <f t="shared" si="71"/>
        <v>1684758.9424572317</v>
      </c>
      <c r="I397" s="1">
        <f t="shared" si="72"/>
        <v>842379.47122861585</v>
      </c>
      <c r="J397" s="1">
        <f t="shared" si="73"/>
        <v>561586.3141524106</v>
      </c>
      <c r="K397" s="1">
        <f t="shared" si="74"/>
        <v>280793.1570762053</v>
      </c>
      <c r="L397" s="1">
        <f t="shared" si="75"/>
        <v>84237.947122861588</v>
      </c>
      <c r="M397">
        <f t="shared" si="68"/>
        <v>2170000000</v>
      </c>
      <c r="N397" s="7"/>
    </row>
    <row r="398" spans="1:14" x14ac:dyDescent="0.25">
      <c r="A398">
        <f t="shared" si="76"/>
        <v>397</v>
      </c>
      <c r="B398" s="1">
        <v>435700200000000</v>
      </c>
      <c r="C398" s="1">
        <v>4333200000000</v>
      </c>
      <c r="D398">
        <f t="shared" si="67"/>
        <v>51.95</v>
      </c>
      <c r="E398" s="1">
        <f t="shared" si="66"/>
        <v>519500</v>
      </c>
      <c r="F398" s="1">
        <f t="shared" si="69"/>
        <v>8382868.1424446581</v>
      </c>
      <c r="G398" s="1">
        <f t="shared" si="70"/>
        <v>4191434.071222329</v>
      </c>
      <c r="H398" s="1">
        <f t="shared" si="71"/>
        <v>1676573.6284889316</v>
      </c>
      <c r="I398" s="1">
        <f t="shared" si="72"/>
        <v>838286.81424446579</v>
      </c>
      <c r="J398" s="1">
        <f t="shared" si="73"/>
        <v>558857.87616297719</v>
      </c>
      <c r="K398" s="1">
        <f t="shared" si="74"/>
        <v>279428.9380814886</v>
      </c>
      <c r="L398" s="1">
        <f t="shared" si="75"/>
        <v>83828.681424446579</v>
      </c>
      <c r="M398">
        <f t="shared" si="68"/>
        <v>2180000000</v>
      </c>
      <c r="N398" s="7"/>
    </row>
    <row r="399" spans="1:14" x14ac:dyDescent="0.25">
      <c r="A399">
        <f t="shared" si="76"/>
        <v>398</v>
      </c>
      <c r="B399" s="1">
        <v>440055100000000</v>
      </c>
      <c r="C399" s="1">
        <v>4354900000000</v>
      </c>
      <c r="D399">
        <f t="shared" si="67"/>
        <v>52.47</v>
      </c>
      <c r="E399" s="1">
        <f t="shared" si="66"/>
        <v>524700</v>
      </c>
      <c r="F399" s="1">
        <f t="shared" si="69"/>
        <v>8341147.3222793974</v>
      </c>
      <c r="G399" s="1">
        <f t="shared" si="70"/>
        <v>4170573.6611396987</v>
      </c>
      <c r="H399" s="1">
        <f t="shared" si="71"/>
        <v>1668229.4644558795</v>
      </c>
      <c r="I399" s="1">
        <f t="shared" si="72"/>
        <v>834114.73222793976</v>
      </c>
      <c r="J399" s="1">
        <f t="shared" si="73"/>
        <v>556076.48815195984</v>
      </c>
      <c r="K399" s="1">
        <f t="shared" si="74"/>
        <v>278038.24407597992</v>
      </c>
      <c r="L399" s="1">
        <f t="shared" si="75"/>
        <v>83411.473222793982</v>
      </c>
      <c r="M399">
        <f t="shared" si="68"/>
        <v>2190000000</v>
      </c>
      <c r="N399" s="7"/>
    </row>
    <row r="400" spans="1:14" x14ac:dyDescent="0.25">
      <c r="A400">
        <f t="shared" si="76"/>
        <v>399</v>
      </c>
      <c r="B400" s="1">
        <v>444431700000000</v>
      </c>
      <c r="C400" s="1">
        <v>4376600000000</v>
      </c>
      <c r="D400">
        <f t="shared" si="67"/>
        <v>52.99</v>
      </c>
      <c r="E400" s="1">
        <f t="shared" si="66"/>
        <v>529900</v>
      </c>
      <c r="F400" s="1">
        <f t="shared" si="69"/>
        <v>8300245.3293074165</v>
      </c>
      <c r="G400" s="1">
        <f t="shared" si="70"/>
        <v>4150122.6646537082</v>
      </c>
      <c r="H400" s="1">
        <f t="shared" si="71"/>
        <v>1660049.0658614833</v>
      </c>
      <c r="I400" s="1">
        <f t="shared" si="72"/>
        <v>830024.53293074167</v>
      </c>
      <c r="J400" s="1">
        <f t="shared" si="73"/>
        <v>553349.68862049445</v>
      </c>
      <c r="K400" s="1">
        <f t="shared" si="74"/>
        <v>276674.84431024722</v>
      </c>
      <c r="L400" s="1">
        <f t="shared" si="75"/>
        <v>83002.45329307417</v>
      </c>
      <c r="M400">
        <f t="shared" si="68"/>
        <v>2200000000</v>
      </c>
      <c r="N400" s="7"/>
    </row>
    <row r="401" spans="1:14" x14ac:dyDescent="0.25">
      <c r="A401">
        <f t="shared" si="76"/>
        <v>400</v>
      </c>
      <c r="B401" s="1">
        <v>448830000000000</v>
      </c>
      <c r="C401" s="1">
        <v>4398300000000</v>
      </c>
      <c r="D401">
        <f t="shared" si="67"/>
        <v>53.52</v>
      </c>
      <c r="E401" s="1">
        <f t="shared" si="66"/>
        <v>535200</v>
      </c>
      <c r="F401" s="1">
        <f t="shared" si="69"/>
        <v>8258594.9177877428</v>
      </c>
      <c r="G401" s="1">
        <f t="shared" si="70"/>
        <v>4129297.4588938714</v>
      </c>
      <c r="H401" s="1">
        <f t="shared" si="71"/>
        <v>1651718.9835575486</v>
      </c>
      <c r="I401" s="1">
        <f t="shared" si="72"/>
        <v>825859.4917787743</v>
      </c>
      <c r="J401" s="1">
        <f t="shared" si="73"/>
        <v>550572.99451918283</v>
      </c>
      <c r="K401" s="1">
        <f t="shared" si="74"/>
        <v>275286.49725959142</v>
      </c>
      <c r="L401" s="1">
        <f t="shared" si="75"/>
        <v>82585.949177877425</v>
      </c>
      <c r="M401">
        <f t="shared" si="68"/>
        <v>2210000000</v>
      </c>
      <c r="N401" s="7"/>
    </row>
    <row r="402" spans="1:14" x14ac:dyDescent="0.25">
      <c r="A402">
        <f t="shared" si="76"/>
        <v>401</v>
      </c>
      <c r="B402" s="1">
        <v>453250000000000</v>
      </c>
      <c r="C402" s="1">
        <v>4420000000000</v>
      </c>
      <c r="D402">
        <f t="shared" si="67"/>
        <v>54.06</v>
      </c>
      <c r="E402" s="1">
        <f t="shared" si="66"/>
        <v>540600</v>
      </c>
      <c r="F402" s="1">
        <f t="shared" si="69"/>
        <v>8216241.2134665186</v>
      </c>
      <c r="G402" s="1">
        <f t="shared" si="70"/>
        <v>4108120.6067332593</v>
      </c>
      <c r="H402" s="1">
        <f t="shared" si="71"/>
        <v>1643248.2426933039</v>
      </c>
      <c r="I402" s="1">
        <f t="shared" si="72"/>
        <v>821624.12134665193</v>
      </c>
      <c r="J402" s="1">
        <f t="shared" si="73"/>
        <v>547749.41423110128</v>
      </c>
      <c r="K402" s="1">
        <f t="shared" si="74"/>
        <v>273874.70711555064</v>
      </c>
      <c r="L402" s="1">
        <f t="shared" si="75"/>
        <v>82162.412134665181</v>
      </c>
      <c r="M402">
        <f t="shared" si="68"/>
        <v>2220000000</v>
      </c>
      <c r="N402" s="7"/>
    </row>
    <row r="403" spans="1:14" x14ac:dyDescent="0.25">
      <c r="A403">
        <f t="shared" si="76"/>
        <v>402</v>
      </c>
      <c r="B403" s="1">
        <v>457691700000000</v>
      </c>
      <c r="C403" s="1">
        <v>4441700000000</v>
      </c>
      <c r="D403">
        <f t="shared" si="67"/>
        <v>54.6</v>
      </c>
      <c r="E403" s="1">
        <f t="shared" si="66"/>
        <v>546000</v>
      </c>
      <c r="F403" s="1">
        <f t="shared" si="69"/>
        <v>8174725.2747252751</v>
      </c>
      <c r="G403" s="1">
        <f t="shared" si="70"/>
        <v>4087362.6373626376</v>
      </c>
      <c r="H403" s="1">
        <f t="shared" si="71"/>
        <v>1634945.0549450549</v>
      </c>
      <c r="I403" s="1">
        <f t="shared" si="72"/>
        <v>817472.52747252746</v>
      </c>
      <c r="J403" s="1">
        <f t="shared" si="73"/>
        <v>544981.68498168502</v>
      </c>
      <c r="K403" s="1">
        <f t="shared" si="74"/>
        <v>272490.84249084251</v>
      </c>
      <c r="L403" s="1">
        <f t="shared" si="75"/>
        <v>81747.252747252744</v>
      </c>
      <c r="M403">
        <f t="shared" si="68"/>
        <v>2230000000</v>
      </c>
      <c r="N403" s="7"/>
    </row>
    <row r="404" spans="1:14" x14ac:dyDescent="0.25">
      <c r="A404">
        <f t="shared" si="76"/>
        <v>403</v>
      </c>
      <c r="B404" s="1">
        <v>462155100000000</v>
      </c>
      <c r="C404" s="1">
        <v>4463400000000</v>
      </c>
      <c r="D404">
        <f t="shared" si="67"/>
        <v>55.15</v>
      </c>
      <c r="E404" s="1">
        <f t="shared" si="66"/>
        <v>551500</v>
      </c>
      <c r="F404" s="1">
        <f t="shared" si="69"/>
        <v>8132547.5974614685</v>
      </c>
      <c r="G404" s="1">
        <f t="shared" si="70"/>
        <v>4066273.7987307343</v>
      </c>
      <c r="H404" s="1">
        <f t="shared" si="71"/>
        <v>1626509.5194922937</v>
      </c>
      <c r="I404" s="1">
        <f t="shared" si="72"/>
        <v>813254.75974614685</v>
      </c>
      <c r="J404" s="1">
        <f t="shared" si="73"/>
        <v>542169.83983076457</v>
      </c>
      <c r="K404" s="1">
        <f t="shared" si="74"/>
        <v>271084.91991538228</v>
      </c>
      <c r="L404" s="1">
        <f t="shared" si="75"/>
        <v>81325.475974614688</v>
      </c>
      <c r="M404">
        <f t="shared" si="68"/>
        <v>2240000000</v>
      </c>
      <c r="N404" s="7"/>
    </row>
    <row r="405" spans="1:14" x14ac:dyDescent="0.25">
      <c r="A405">
        <f t="shared" si="76"/>
        <v>404</v>
      </c>
      <c r="B405" s="1">
        <v>466640200000000</v>
      </c>
      <c r="C405" s="1">
        <v>4485100000000</v>
      </c>
      <c r="D405">
        <f t="shared" si="67"/>
        <v>55.7</v>
      </c>
      <c r="E405" s="1">
        <f t="shared" si="66"/>
        <v>557000</v>
      </c>
      <c r="F405" s="1">
        <f t="shared" si="69"/>
        <v>8091202.8725314187</v>
      </c>
      <c r="G405" s="1">
        <f t="shared" si="70"/>
        <v>4045601.4362657093</v>
      </c>
      <c r="H405" s="1">
        <f t="shared" si="71"/>
        <v>1618240.5745062837</v>
      </c>
      <c r="I405" s="1">
        <f t="shared" si="72"/>
        <v>809120.28725314187</v>
      </c>
      <c r="J405" s="1">
        <f t="shared" si="73"/>
        <v>539413.52483542787</v>
      </c>
      <c r="K405" s="1">
        <f t="shared" si="74"/>
        <v>269706.76241771394</v>
      </c>
      <c r="L405" s="1">
        <f t="shared" si="75"/>
        <v>80912.028725314187</v>
      </c>
      <c r="M405">
        <f t="shared" si="68"/>
        <v>2250000000</v>
      </c>
      <c r="N405" s="7"/>
    </row>
    <row r="406" spans="1:14" x14ac:dyDescent="0.25">
      <c r="A406">
        <f t="shared" si="76"/>
        <v>405</v>
      </c>
      <c r="B406" s="1">
        <v>471147000000000</v>
      </c>
      <c r="C406" s="1">
        <v>4506800000000</v>
      </c>
      <c r="D406">
        <f t="shared" si="67"/>
        <v>56.25</v>
      </c>
      <c r="E406" s="1">
        <f t="shared" si="66"/>
        <v>562500</v>
      </c>
      <c r="F406" s="1">
        <f t="shared" si="69"/>
        <v>8050666.666666667</v>
      </c>
      <c r="G406" s="1">
        <f t="shared" si="70"/>
        <v>4025333.3333333335</v>
      </c>
      <c r="H406" s="1">
        <f t="shared" si="71"/>
        <v>1610133.3333333333</v>
      </c>
      <c r="I406" s="1">
        <f t="shared" si="72"/>
        <v>805066.66666666663</v>
      </c>
      <c r="J406" s="1">
        <f t="shared" si="73"/>
        <v>536711.11111111112</v>
      </c>
      <c r="K406" s="1">
        <f t="shared" si="74"/>
        <v>268355.55555555556</v>
      </c>
      <c r="L406" s="1">
        <f t="shared" si="75"/>
        <v>80506.666666666672</v>
      </c>
      <c r="M406">
        <f t="shared" si="68"/>
        <v>2260000000</v>
      </c>
      <c r="N406" s="7"/>
    </row>
    <row r="407" spans="1:14" x14ac:dyDescent="0.25">
      <c r="A407">
        <f t="shared" si="76"/>
        <v>406</v>
      </c>
      <c r="B407" s="1">
        <v>475675500000000</v>
      </c>
      <c r="C407" s="1">
        <v>4528500000000</v>
      </c>
      <c r="D407">
        <f t="shared" si="67"/>
        <v>56.82</v>
      </c>
      <c r="E407" s="1">
        <f t="shared" si="66"/>
        <v>568200</v>
      </c>
      <c r="F407" s="1">
        <f t="shared" si="69"/>
        <v>8008095.7409362905</v>
      </c>
      <c r="G407" s="1">
        <f t="shared" si="70"/>
        <v>4004047.8704681452</v>
      </c>
      <c r="H407" s="1">
        <f t="shared" si="71"/>
        <v>1601619.148187258</v>
      </c>
      <c r="I407" s="1">
        <f t="shared" si="72"/>
        <v>800809.57409362902</v>
      </c>
      <c r="J407" s="1">
        <f t="shared" si="73"/>
        <v>533873.04939575272</v>
      </c>
      <c r="K407" s="1">
        <f t="shared" si="74"/>
        <v>266936.52469787636</v>
      </c>
      <c r="L407" s="1">
        <f t="shared" si="75"/>
        <v>80080.957409362905</v>
      </c>
      <c r="M407">
        <f t="shared" si="68"/>
        <v>2280000000</v>
      </c>
      <c r="N407" s="7"/>
    </row>
    <row r="408" spans="1:14" x14ac:dyDescent="0.25">
      <c r="A408">
        <f t="shared" si="76"/>
        <v>407</v>
      </c>
      <c r="B408" s="1">
        <v>480225700000000</v>
      </c>
      <c r="C408" s="1">
        <v>4550200000000</v>
      </c>
      <c r="D408">
        <f t="shared" si="67"/>
        <v>57.39</v>
      </c>
      <c r="E408" s="1">
        <f t="shared" si="66"/>
        <v>573900</v>
      </c>
      <c r="F408" s="1">
        <f t="shared" si="69"/>
        <v>7966370.4478132082</v>
      </c>
      <c r="G408" s="1">
        <f t="shared" si="70"/>
        <v>3983185.2239066041</v>
      </c>
      <c r="H408" s="1">
        <f t="shared" si="71"/>
        <v>1593274.0895626417</v>
      </c>
      <c r="I408" s="1">
        <f t="shared" si="72"/>
        <v>796637.04478132084</v>
      </c>
      <c r="J408" s="1">
        <f t="shared" si="73"/>
        <v>531091.36318754719</v>
      </c>
      <c r="K408" s="1">
        <f t="shared" si="74"/>
        <v>265545.6815937736</v>
      </c>
      <c r="L408" s="1">
        <f t="shared" si="75"/>
        <v>79663.704478132073</v>
      </c>
      <c r="M408">
        <f t="shared" si="68"/>
        <v>2290000000</v>
      </c>
      <c r="N408" s="7"/>
    </row>
    <row r="409" spans="1:14" x14ac:dyDescent="0.25">
      <c r="A409">
        <f t="shared" si="76"/>
        <v>408</v>
      </c>
      <c r="B409" s="1">
        <v>484797600000000</v>
      </c>
      <c r="C409" s="1">
        <v>4571900000000</v>
      </c>
      <c r="D409">
        <f t="shared" si="67"/>
        <v>57.96</v>
      </c>
      <c r="E409" s="1">
        <f t="shared" si="66"/>
        <v>579600</v>
      </c>
      <c r="F409" s="1">
        <f t="shared" si="69"/>
        <v>7925465.8385093166</v>
      </c>
      <c r="G409" s="1">
        <f t="shared" si="70"/>
        <v>3962732.9192546583</v>
      </c>
      <c r="H409" s="1">
        <f t="shared" si="71"/>
        <v>1585093.1677018635</v>
      </c>
      <c r="I409" s="1">
        <f t="shared" si="72"/>
        <v>792546.58385093173</v>
      </c>
      <c r="J409" s="1">
        <f t="shared" si="73"/>
        <v>528364.38923395448</v>
      </c>
      <c r="K409" s="1">
        <f t="shared" si="74"/>
        <v>264182.19461697724</v>
      </c>
      <c r="L409" s="1">
        <f t="shared" si="75"/>
        <v>79254.658385093164</v>
      </c>
      <c r="M409">
        <f t="shared" si="68"/>
        <v>2300000000</v>
      </c>
      <c r="N409" s="7"/>
    </row>
    <row r="410" spans="1:14" x14ac:dyDescent="0.25">
      <c r="A410">
        <f t="shared" si="76"/>
        <v>409</v>
      </c>
      <c r="B410" s="1">
        <v>489391200000000</v>
      </c>
      <c r="C410" s="1">
        <v>4593600000000</v>
      </c>
      <c r="D410">
        <f t="shared" si="67"/>
        <v>58.54</v>
      </c>
      <c r="E410" s="1">
        <f t="shared" si="66"/>
        <v>585400</v>
      </c>
      <c r="F410" s="1">
        <f t="shared" si="69"/>
        <v>7884010.9326955928</v>
      </c>
      <c r="G410" s="1">
        <f t="shared" si="70"/>
        <v>3942005.4663477964</v>
      </c>
      <c r="H410" s="1">
        <f t="shared" si="71"/>
        <v>1576802.1865391186</v>
      </c>
      <c r="I410" s="1">
        <f t="shared" si="72"/>
        <v>788401.09326955932</v>
      </c>
      <c r="J410" s="1">
        <f t="shared" si="73"/>
        <v>525600.7288463728</v>
      </c>
      <c r="K410" s="1">
        <f t="shared" si="74"/>
        <v>262800.3644231864</v>
      </c>
      <c r="L410" s="1">
        <f t="shared" si="75"/>
        <v>78840.109326955921</v>
      </c>
      <c r="M410">
        <f t="shared" si="68"/>
        <v>2310000000</v>
      </c>
      <c r="N410" s="7"/>
    </row>
    <row r="411" spans="1:14" x14ac:dyDescent="0.25">
      <c r="A411">
        <f t="shared" si="76"/>
        <v>410</v>
      </c>
      <c r="B411" s="1">
        <v>494006500000000</v>
      </c>
      <c r="C411" s="1">
        <v>4615300000000</v>
      </c>
      <c r="D411">
        <f t="shared" si="67"/>
        <v>59.12</v>
      </c>
      <c r="E411" s="1">
        <f t="shared" si="66"/>
        <v>591200</v>
      </c>
      <c r="F411" s="1">
        <f t="shared" si="69"/>
        <v>7843369.4181326116</v>
      </c>
      <c r="G411" s="1">
        <f t="shared" si="70"/>
        <v>3921684.7090663058</v>
      </c>
      <c r="H411" s="1">
        <f t="shared" si="71"/>
        <v>1568673.8836265223</v>
      </c>
      <c r="I411" s="1">
        <f t="shared" si="72"/>
        <v>784336.94181326113</v>
      </c>
      <c r="J411" s="1">
        <f t="shared" si="73"/>
        <v>522891.29454217409</v>
      </c>
      <c r="K411" s="1">
        <f t="shared" si="74"/>
        <v>261445.64727108704</v>
      </c>
      <c r="L411" s="1">
        <f t="shared" si="75"/>
        <v>78433.694181326122</v>
      </c>
      <c r="M411">
        <f t="shared" si="68"/>
        <v>2320000000</v>
      </c>
      <c r="N411" s="7"/>
    </row>
    <row r="412" spans="1:14" x14ac:dyDescent="0.25">
      <c r="A412">
        <f t="shared" si="76"/>
        <v>411</v>
      </c>
      <c r="B412" s="1">
        <v>498643500000000</v>
      </c>
      <c r="C412" s="1">
        <v>4637000000000</v>
      </c>
      <c r="D412">
        <f t="shared" si="67"/>
        <v>59.72</v>
      </c>
      <c r="E412" s="1">
        <f t="shared" si="66"/>
        <v>597200</v>
      </c>
      <c r="F412" s="1">
        <f t="shared" si="69"/>
        <v>7800904.2196918959</v>
      </c>
      <c r="G412" s="1">
        <f t="shared" si="70"/>
        <v>3900452.1098459479</v>
      </c>
      <c r="H412" s="1">
        <f t="shared" si="71"/>
        <v>1560180.8439383791</v>
      </c>
      <c r="I412" s="1">
        <f t="shared" si="72"/>
        <v>780090.42196918954</v>
      </c>
      <c r="J412" s="1">
        <f t="shared" si="73"/>
        <v>520060.28131279303</v>
      </c>
      <c r="K412" s="1">
        <f t="shared" si="74"/>
        <v>260030.14065639651</v>
      </c>
      <c r="L412" s="1">
        <f t="shared" si="75"/>
        <v>78009.042196918948</v>
      </c>
      <c r="M412">
        <f t="shared" si="68"/>
        <v>2330000000</v>
      </c>
      <c r="N412" s="7"/>
    </row>
    <row r="413" spans="1:14" x14ac:dyDescent="0.25">
      <c r="A413">
        <f t="shared" si="76"/>
        <v>412</v>
      </c>
      <c r="B413" s="1">
        <v>503302200000000</v>
      </c>
      <c r="C413" s="1">
        <v>4658700000000</v>
      </c>
      <c r="D413">
        <f t="shared" si="67"/>
        <v>60.31</v>
      </c>
      <c r="E413" s="1">
        <f t="shared" si="66"/>
        <v>603100</v>
      </c>
      <c r="F413" s="1">
        <f t="shared" si="69"/>
        <v>7760570.3863372579</v>
      </c>
      <c r="G413" s="1">
        <f t="shared" si="70"/>
        <v>3880285.193168629</v>
      </c>
      <c r="H413" s="1">
        <f t="shared" si="71"/>
        <v>1552114.0772674514</v>
      </c>
      <c r="I413" s="1">
        <f t="shared" si="72"/>
        <v>776057.03863372572</v>
      </c>
      <c r="J413" s="1">
        <f t="shared" si="73"/>
        <v>517371.3590891505</v>
      </c>
      <c r="K413" s="1">
        <f t="shared" si="74"/>
        <v>258685.67954457525</v>
      </c>
      <c r="L413" s="1">
        <f t="shared" si="75"/>
        <v>77605.703863372575</v>
      </c>
      <c r="M413">
        <f t="shared" si="68"/>
        <v>2340000000</v>
      </c>
      <c r="N413" s="7"/>
    </row>
    <row r="414" spans="1:14" x14ac:dyDescent="0.25">
      <c r="A414">
        <f t="shared" si="76"/>
        <v>413</v>
      </c>
      <c r="B414" s="1">
        <v>507982600000000</v>
      </c>
      <c r="C414" s="1">
        <v>4680400000000</v>
      </c>
      <c r="D414">
        <f t="shared" si="67"/>
        <v>60.92</v>
      </c>
      <c r="E414" s="1">
        <f t="shared" si="66"/>
        <v>609200</v>
      </c>
      <c r="F414" s="1">
        <f t="shared" si="69"/>
        <v>7718483.2567301383</v>
      </c>
      <c r="G414" s="1">
        <f t="shared" si="70"/>
        <v>3859241.6283650692</v>
      </c>
      <c r="H414" s="1">
        <f t="shared" si="71"/>
        <v>1543696.6513460276</v>
      </c>
      <c r="I414" s="1">
        <f t="shared" si="72"/>
        <v>771848.32567301381</v>
      </c>
      <c r="J414" s="1">
        <f t="shared" si="73"/>
        <v>514565.55044867587</v>
      </c>
      <c r="K414" s="1">
        <f t="shared" si="74"/>
        <v>257282.77522433794</v>
      </c>
      <c r="L414" s="1">
        <f t="shared" si="75"/>
        <v>77184.832567301375</v>
      </c>
      <c r="M414">
        <f t="shared" si="68"/>
        <v>2350000000</v>
      </c>
      <c r="N414" s="7"/>
    </row>
    <row r="415" spans="1:14" x14ac:dyDescent="0.25">
      <c r="A415">
        <f t="shared" si="76"/>
        <v>414</v>
      </c>
      <c r="B415" s="1">
        <v>512684700000000</v>
      </c>
      <c r="C415" s="1">
        <v>4702100000000</v>
      </c>
      <c r="D415">
        <f t="shared" si="67"/>
        <v>61.52</v>
      </c>
      <c r="E415" s="1">
        <f t="shared" si="66"/>
        <v>615200</v>
      </c>
      <c r="F415" s="1">
        <f t="shared" si="69"/>
        <v>7678478.5435630688</v>
      </c>
      <c r="G415" s="1">
        <f t="shared" si="70"/>
        <v>3839239.2717815344</v>
      </c>
      <c r="H415" s="1">
        <f t="shared" si="71"/>
        <v>1535695.7087126137</v>
      </c>
      <c r="I415" s="1">
        <f t="shared" si="72"/>
        <v>767847.85435630684</v>
      </c>
      <c r="J415" s="1">
        <f t="shared" si="73"/>
        <v>511898.56957087124</v>
      </c>
      <c r="K415" s="1">
        <f t="shared" si="74"/>
        <v>255949.28478543562</v>
      </c>
      <c r="L415" s="1">
        <f t="shared" si="75"/>
        <v>76784.785435630693</v>
      </c>
      <c r="M415">
        <f t="shared" si="68"/>
        <v>2360000000</v>
      </c>
      <c r="N415" s="7"/>
    </row>
    <row r="416" spans="1:14" x14ac:dyDescent="0.25">
      <c r="A416">
        <f t="shared" si="76"/>
        <v>415</v>
      </c>
      <c r="B416" s="1">
        <v>517408500000000</v>
      </c>
      <c r="C416" s="1">
        <v>4723800000000</v>
      </c>
      <c r="D416">
        <f t="shared" si="67"/>
        <v>62.14</v>
      </c>
      <c r="E416" s="1">
        <f t="shared" si="66"/>
        <v>621400</v>
      </c>
      <c r="F416" s="1">
        <f t="shared" si="69"/>
        <v>7636787.8982941741</v>
      </c>
      <c r="G416" s="1">
        <f t="shared" si="70"/>
        <v>3818393.9491470871</v>
      </c>
      <c r="H416" s="1">
        <f t="shared" si="71"/>
        <v>1527357.579658835</v>
      </c>
      <c r="I416" s="1">
        <f t="shared" si="72"/>
        <v>763678.78982941748</v>
      </c>
      <c r="J416" s="1">
        <f t="shared" si="73"/>
        <v>509119.19321961165</v>
      </c>
      <c r="K416" s="1">
        <f t="shared" si="74"/>
        <v>254559.59660980583</v>
      </c>
      <c r="L416" s="1">
        <f t="shared" si="75"/>
        <v>76367.878982941751</v>
      </c>
      <c r="M416">
        <f t="shared" si="68"/>
        <v>2370000000</v>
      </c>
      <c r="N416" s="7"/>
    </row>
    <row r="417" spans="1:14" x14ac:dyDescent="0.25">
      <c r="A417">
        <f t="shared" si="76"/>
        <v>416</v>
      </c>
      <c r="B417" s="1">
        <v>522154000000000</v>
      </c>
      <c r="C417" s="1">
        <v>4745500000000</v>
      </c>
      <c r="D417">
        <f t="shared" si="67"/>
        <v>62.76</v>
      </c>
      <c r="E417" s="1">
        <f t="shared" si="66"/>
        <v>627600</v>
      </c>
      <c r="F417" s="1">
        <f t="shared" si="69"/>
        <v>7595920.9687699173</v>
      </c>
      <c r="G417" s="1">
        <f t="shared" si="70"/>
        <v>3797960.4843849586</v>
      </c>
      <c r="H417" s="1">
        <f t="shared" si="71"/>
        <v>1519184.1937539834</v>
      </c>
      <c r="I417" s="1">
        <f t="shared" si="72"/>
        <v>759592.09687699168</v>
      </c>
      <c r="J417" s="1">
        <f t="shared" si="73"/>
        <v>506394.73125132779</v>
      </c>
      <c r="K417" s="1">
        <f t="shared" si="74"/>
        <v>253197.36562566389</v>
      </c>
      <c r="L417" s="1">
        <f t="shared" si="75"/>
        <v>75959.209687699171</v>
      </c>
      <c r="M417">
        <f t="shared" si="68"/>
        <v>2380000000</v>
      </c>
      <c r="N417" s="7"/>
    </row>
    <row r="418" spans="1:14" x14ac:dyDescent="0.25">
      <c r="A418">
        <f t="shared" si="76"/>
        <v>417</v>
      </c>
      <c r="B418" s="1">
        <v>526921200000000</v>
      </c>
      <c r="C418" s="1">
        <v>4767200000000</v>
      </c>
      <c r="D418">
        <f t="shared" si="67"/>
        <v>63.39</v>
      </c>
      <c r="E418" s="1">
        <f t="shared" si="66"/>
        <v>633900</v>
      </c>
      <c r="F418" s="1">
        <f t="shared" si="69"/>
        <v>7554661.6185518224</v>
      </c>
      <c r="G418" s="1">
        <f t="shared" si="70"/>
        <v>3777330.8092759112</v>
      </c>
      <c r="H418" s="1">
        <f t="shared" si="71"/>
        <v>1510932.3237103645</v>
      </c>
      <c r="I418" s="1">
        <f t="shared" si="72"/>
        <v>755466.16185518226</v>
      </c>
      <c r="J418" s="1">
        <f t="shared" si="73"/>
        <v>503644.1079034548</v>
      </c>
      <c r="K418" s="1">
        <f t="shared" si="74"/>
        <v>251822.0539517274</v>
      </c>
      <c r="L418" s="1">
        <f t="shared" si="75"/>
        <v>75546.616185518214</v>
      </c>
      <c r="M418">
        <f t="shared" si="68"/>
        <v>2390000000</v>
      </c>
      <c r="N418" s="7"/>
    </row>
    <row r="419" spans="1:14" x14ac:dyDescent="0.25">
      <c r="A419">
        <f t="shared" si="76"/>
        <v>418</v>
      </c>
      <c r="B419" s="1">
        <v>531710100000000</v>
      </c>
      <c r="C419" s="1">
        <v>4788900000000</v>
      </c>
      <c r="D419">
        <f t="shared" si="67"/>
        <v>64.02</v>
      </c>
      <c r="E419" s="1">
        <f t="shared" si="66"/>
        <v>640200</v>
      </c>
      <c r="F419" s="1">
        <f t="shared" si="69"/>
        <v>7514214.3080287408</v>
      </c>
      <c r="G419" s="1">
        <f t="shared" si="70"/>
        <v>3757107.1540143704</v>
      </c>
      <c r="H419" s="1">
        <f t="shared" si="71"/>
        <v>1502842.8616057483</v>
      </c>
      <c r="I419" s="1">
        <f t="shared" si="72"/>
        <v>751421.43080287415</v>
      </c>
      <c r="J419" s="1">
        <f t="shared" si="73"/>
        <v>500947.62053524941</v>
      </c>
      <c r="K419" s="1">
        <f t="shared" si="74"/>
        <v>250473.81026762471</v>
      </c>
      <c r="L419" s="1">
        <f t="shared" si="75"/>
        <v>75142.143080287409</v>
      </c>
      <c r="M419">
        <f t="shared" si="68"/>
        <v>2410000000</v>
      </c>
      <c r="N419" s="7"/>
    </row>
    <row r="420" spans="1:14" x14ac:dyDescent="0.25">
      <c r="A420">
        <f t="shared" si="76"/>
        <v>419</v>
      </c>
      <c r="B420" s="1">
        <v>536520700000000</v>
      </c>
      <c r="C420" s="1">
        <v>4810600000000</v>
      </c>
      <c r="D420">
        <f t="shared" si="67"/>
        <v>64.66</v>
      </c>
      <c r="E420" s="1">
        <f t="shared" si="66"/>
        <v>646600</v>
      </c>
      <c r="F420" s="1">
        <f t="shared" si="69"/>
        <v>7473399.3195174765</v>
      </c>
      <c r="G420" s="1">
        <f t="shared" si="70"/>
        <v>3736699.6597587382</v>
      </c>
      <c r="H420" s="1">
        <f t="shared" si="71"/>
        <v>1494679.8639034953</v>
      </c>
      <c r="I420" s="1">
        <f t="shared" si="72"/>
        <v>747339.93195174763</v>
      </c>
      <c r="J420" s="1">
        <f t="shared" si="73"/>
        <v>498226.62130116508</v>
      </c>
      <c r="K420" s="1">
        <f t="shared" si="74"/>
        <v>249113.31065058254</v>
      </c>
      <c r="L420" s="1">
        <f t="shared" si="75"/>
        <v>74733.993195174757</v>
      </c>
      <c r="M420">
        <f t="shared" si="68"/>
        <v>2420000000</v>
      </c>
      <c r="N420" s="7"/>
    </row>
    <row r="421" spans="1:14" x14ac:dyDescent="0.25">
      <c r="A421">
        <f t="shared" si="76"/>
        <v>420</v>
      </c>
      <c r="B421" s="1">
        <v>541353000000000</v>
      </c>
      <c r="C421" s="1">
        <v>4832300000000</v>
      </c>
      <c r="D421">
        <f t="shared" si="67"/>
        <v>65.31</v>
      </c>
      <c r="E421" s="1">
        <f t="shared" si="66"/>
        <v>653100</v>
      </c>
      <c r="F421" s="1">
        <f t="shared" si="69"/>
        <v>7432246.2103812583</v>
      </c>
      <c r="G421" s="1">
        <f t="shared" si="70"/>
        <v>3716123.1051906291</v>
      </c>
      <c r="H421" s="1">
        <f t="shared" si="71"/>
        <v>1486449.2420762517</v>
      </c>
      <c r="I421" s="1">
        <f t="shared" si="72"/>
        <v>743224.62103812583</v>
      </c>
      <c r="J421" s="1">
        <f t="shared" si="73"/>
        <v>495483.08069208392</v>
      </c>
      <c r="K421" s="1">
        <f t="shared" si="74"/>
        <v>247741.54034604196</v>
      </c>
      <c r="L421" s="1">
        <f t="shared" si="75"/>
        <v>74322.462103812592</v>
      </c>
      <c r="M421">
        <f t="shared" si="68"/>
        <v>2430000000</v>
      </c>
      <c r="N421" s="7"/>
    </row>
    <row r="422" spans="1:14" x14ac:dyDescent="0.25">
      <c r="A422">
        <f t="shared" si="76"/>
        <v>421</v>
      </c>
      <c r="B422" s="1">
        <v>546207000000000</v>
      </c>
      <c r="C422" s="1">
        <v>4854000000000</v>
      </c>
      <c r="D422">
        <f t="shared" si="67"/>
        <v>65.959999999999994</v>
      </c>
      <c r="E422" s="1">
        <f t="shared" si="66"/>
        <v>659599.99999999988</v>
      </c>
      <c r="F422" s="1">
        <f t="shared" si="69"/>
        <v>7391904.1843541553</v>
      </c>
      <c r="G422" s="1">
        <f t="shared" si="70"/>
        <v>3695952.0921770777</v>
      </c>
      <c r="H422" s="1">
        <f t="shared" si="71"/>
        <v>1478380.836870831</v>
      </c>
      <c r="I422" s="1">
        <f t="shared" si="72"/>
        <v>739190.41843541549</v>
      </c>
      <c r="J422" s="1">
        <f t="shared" si="73"/>
        <v>492793.61229027703</v>
      </c>
      <c r="K422" s="1">
        <f t="shared" si="74"/>
        <v>246396.80614513851</v>
      </c>
      <c r="L422" s="1">
        <f t="shared" si="75"/>
        <v>73919.041843541563</v>
      </c>
      <c r="M422">
        <f t="shared" si="68"/>
        <v>2440000000</v>
      </c>
      <c r="N422" s="7"/>
    </row>
    <row r="423" spans="1:14" x14ac:dyDescent="0.25">
      <c r="A423">
        <f t="shared" si="76"/>
        <v>422</v>
      </c>
      <c r="B423" s="1">
        <v>551082700000000</v>
      </c>
      <c r="C423" s="1">
        <v>4875700000000</v>
      </c>
      <c r="D423">
        <f t="shared" si="67"/>
        <v>66.62</v>
      </c>
      <c r="E423" s="1">
        <f t="shared" si="66"/>
        <v>666200</v>
      </c>
      <c r="F423" s="1">
        <f t="shared" si="69"/>
        <v>7351245.8721104776</v>
      </c>
      <c r="G423" s="1">
        <f t="shared" si="70"/>
        <v>3675622.9360552388</v>
      </c>
      <c r="H423" s="1">
        <f t="shared" si="71"/>
        <v>1470249.1744220955</v>
      </c>
      <c r="I423" s="1">
        <f t="shared" si="72"/>
        <v>735124.58721104776</v>
      </c>
      <c r="J423" s="1">
        <f t="shared" si="73"/>
        <v>490083.05814069847</v>
      </c>
      <c r="K423" s="1">
        <f t="shared" si="74"/>
        <v>245041.52907034924</v>
      </c>
      <c r="L423" s="1">
        <f t="shared" si="75"/>
        <v>73512.458721104776</v>
      </c>
      <c r="M423">
        <f t="shared" si="68"/>
        <v>2450000000</v>
      </c>
      <c r="N423" s="7"/>
    </row>
    <row r="424" spans="1:14" x14ac:dyDescent="0.25">
      <c r="A424">
        <f t="shared" si="76"/>
        <v>423</v>
      </c>
      <c r="B424" s="1">
        <v>555980100000000</v>
      </c>
      <c r="C424" s="1">
        <v>4897400000000</v>
      </c>
      <c r="D424">
        <f t="shared" si="67"/>
        <v>67.290000000000006</v>
      </c>
      <c r="E424" s="1">
        <f t="shared" si="66"/>
        <v>672900.00000000012</v>
      </c>
      <c r="F424" s="1">
        <f t="shared" si="69"/>
        <v>7310298.7070887191</v>
      </c>
      <c r="G424" s="1">
        <f t="shared" si="70"/>
        <v>3655149.3535443596</v>
      </c>
      <c r="H424" s="1">
        <f t="shared" si="71"/>
        <v>1462059.741417744</v>
      </c>
      <c r="I424" s="1">
        <f t="shared" si="72"/>
        <v>731029.87070887198</v>
      </c>
      <c r="J424" s="1">
        <f t="shared" si="73"/>
        <v>487353.24713924795</v>
      </c>
      <c r="K424" s="1">
        <f t="shared" si="74"/>
        <v>243676.62356962397</v>
      </c>
      <c r="L424" s="1">
        <f t="shared" si="75"/>
        <v>73102.987070887189</v>
      </c>
      <c r="M424">
        <f t="shared" si="68"/>
        <v>2460000000</v>
      </c>
      <c r="N424" s="7"/>
    </row>
    <row r="425" spans="1:14" x14ac:dyDescent="0.25">
      <c r="A425">
        <f t="shared" si="76"/>
        <v>424</v>
      </c>
      <c r="B425" s="1">
        <v>560899200000000</v>
      </c>
      <c r="C425" s="1">
        <v>4919100000000</v>
      </c>
      <c r="D425">
        <f t="shared" si="67"/>
        <v>67.959999999999994</v>
      </c>
      <c r="E425" s="1">
        <f t="shared" si="66"/>
        <v>679599.99999999988</v>
      </c>
      <c r="F425" s="1">
        <f t="shared" si="69"/>
        <v>7270158.9170100074</v>
      </c>
      <c r="G425" s="1">
        <f t="shared" si="70"/>
        <v>3635079.4585050037</v>
      </c>
      <c r="H425" s="1">
        <f t="shared" si="71"/>
        <v>1454031.7834020015</v>
      </c>
      <c r="I425" s="1">
        <f t="shared" si="72"/>
        <v>727015.89170100074</v>
      </c>
      <c r="J425" s="1">
        <f t="shared" si="73"/>
        <v>484677.2611340005</v>
      </c>
      <c r="K425" s="1">
        <f t="shared" si="74"/>
        <v>242338.63056700025</v>
      </c>
      <c r="L425" s="1">
        <f t="shared" si="75"/>
        <v>72701.58917010008</v>
      </c>
      <c r="M425">
        <f t="shared" si="68"/>
        <v>2470000000</v>
      </c>
      <c r="N425" s="7"/>
    </row>
    <row r="426" spans="1:14" x14ac:dyDescent="0.25">
      <c r="A426">
        <f t="shared" si="76"/>
        <v>425</v>
      </c>
      <c r="B426" s="1">
        <v>565840000000000</v>
      </c>
      <c r="C426" s="1">
        <v>4940800000000</v>
      </c>
      <c r="D426">
        <f t="shared" si="67"/>
        <v>68.64</v>
      </c>
      <c r="E426" s="1">
        <f t="shared" si="66"/>
        <v>686400</v>
      </c>
      <c r="F426" s="1">
        <f t="shared" si="69"/>
        <v>7229749.4172494169</v>
      </c>
      <c r="G426" s="1">
        <f t="shared" si="70"/>
        <v>3614874.7086247085</v>
      </c>
      <c r="H426" s="1">
        <f t="shared" si="71"/>
        <v>1445949.8834498834</v>
      </c>
      <c r="I426" s="1">
        <f t="shared" si="72"/>
        <v>722974.94172494172</v>
      </c>
      <c r="J426" s="1">
        <f t="shared" si="73"/>
        <v>481983.29448329448</v>
      </c>
      <c r="K426" s="1">
        <f t="shared" si="74"/>
        <v>240991.64724164724</v>
      </c>
      <c r="L426" s="1">
        <f t="shared" si="75"/>
        <v>72297.494172494175</v>
      </c>
      <c r="M426">
        <f t="shared" si="68"/>
        <v>2480000000</v>
      </c>
      <c r="N426" s="7"/>
    </row>
    <row r="427" spans="1:14" x14ac:dyDescent="0.25">
      <c r="A427">
        <f t="shared" si="76"/>
        <v>426</v>
      </c>
      <c r="B427" s="1">
        <v>570802500000000</v>
      </c>
      <c r="C427" s="1">
        <v>4962500000000</v>
      </c>
      <c r="D427">
        <f t="shared" si="67"/>
        <v>69.33</v>
      </c>
      <c r="E427" s="1">
        <f t="shared" si="66"/>
        <v>693300</v>
      </c>
      <c r="F427" s="1">
        <f t="shared" si="69"/>
        <v>7189095.6295975773</v>
      </c>
      <c r="G427" s="1">
        <f t="shared" si="70"/>
        <v>3594547.8147987886</v>
      </c>
      <c r="H427" s="1">
        <f t="shared" si="71"/>
        <v>1437819.1259195153</v>
      </c>
      <c r="I427" s="1">
        <f t="shared" si="72"/>
        <v>718909.56295975763</v>
      </c>
      <c r="J427" s="1">
        <f t="shared" si="73"/>
        <v>479273.04197317181</v>
      </c>
      <c r="K427" s="1">
        <f t="shared" si="74"/>
        <v>239636.52098658591</v>
      </c>
      <c r="L427" s="1">
        <f t="shared" si="75"/>
        <v>71890.956295975775</v>
      </c>
      <c r="M427">
        <f t="shared" si="68"/>
        <v>2490000000</v>
      </c>
      <c r="N427" s="7"/>
    </row>
    <row r="428" spans="1:14" x14ac:dyDescent="0.25">
      <c r="A428">
        <f t="shared" si="76"/>
        <v>427</v>
      </c>
      <c r="B428" s="1">
        <v>575786700000000</v>
      </c>
      <c r="C428" s="1">
        <v>4984200000000</v>
      </c>
      <c r="D428">
        <f t="shared" si="67"/>
        <v>70.02</v>
      </c>
      <c r="E428" s="1">
        <f t="shared" si="66"/>
        <v>700200</v>
      </c>
      <c r="F428" s="1">
        <f t="shared" si="69"/>
        <v>7149243.0734075978</v>
      </c>
      <c r="G428" s="1">
        <f t="shared" si="70"/>
        <v>3574621.5367037989</v>
      </c>
      <c r="H428" s="1">
        <f t="shared" si="71"/>
        <v>1429848.6146815196</v>
      </c>
      <c r="I428" s="1">
        <f t="shared" si="72"/>
        <v>714924.30734075978</v>
      </c>
      <c r="J428" s="1">
        <f t="shared" si="73"/>
        <v>476616.20489383984</v>
      </c>
      <c r="K428" s="1">
        <f t="shared" si="74"/>
        <v>238308.10244691992</v>
      </c>
      <c r="L428" s="1">
        <f t="shared" si="75"/>
        <v>71492.430734075984</v>
      </c>
      <c r="M428">
        <f t="shared" si="68"/>
        <v>2500000000</v>
      </c>
      <c r="N428" s="7"/>
    </row>
    <row r="429" spans="1:14" x14ac:dyDescent="0.25">
      <c r="A429">
        <f t="shared" si="76"/>
        <v>428</v>
      </c>
      <c r="B429" s="1">
        <v>580792600000000</v>
      </c>
      <c r="C429" s="1">
        <v>5005900000000</v>
      </c>
      <c r="D429">
        <f t="shared" si="67"/>
        <v>70.72</v>
      </c>
      <c r="E429" s="1">
        <f t="shared" si="66"/>
        <v>707200</v>
      </c>
      <c r="F429" s="1">
        <f t="shared" si="69"/>
        <v>7109162.8959276015</v>
      </c>
      <c r="G429" s="1">
        <f t="shared" si="70"/>
        <v>3554581.4479638007</v>
      </c>
      <c r="H429" s="1">
        <f t="shared" si="71"/>
        <v>1421832.5791855203</v>
      </c>
      <c r="I429" s="1">
        <f t="shared" si="72"/>
        <v>710916.28959276015</v>
      </c>
      <c r="J429" s="1">
        <f t="shared" si="73"/>
        <v>473944.19306184014</v>
      </c>
      <c r="K429" s="1">
        <f t="shared" si="74"/>
        <v>236972.09653092007</v>
      </c>
      <c r="L429" s="1">
        <f t="shared" si="75"/>
        <v>71091.628959276015</v>
      </c>
      <c r="M429">
        <f t="shared" si="68"/>
        <v>2510000000</v>
      </c>
      <c r="N429" s="7"/>
    </row>
    <row r="430" spans="1:14" x14ac:dyDescent="0.25">
      <c r="A430">
        <f t="shared" si="76"/>
        <v>429</v>
      </c>
      <c r="B430" s="1">
        <v>585820200000000</v>
      </c>
      <c r="C430" s="1">
        <v>5027600000000</v>
      </c>
      <c r="D430">
        <f t="shared" si="67"/>
        <v>71.430000000000007</v>
      </c>
      <c r="E430" s="1">
        <f t="shared" si="66"/>
        <v>714300.00000000012</v>
      </c>
      <c r="F430" s="1">
        <f t="shared" si="69"/>
        <v>7068878.6224275501</v>
      </c>
      <c r="G430" s="1">
        <f t="shared" si="70"/>
        <v>3534439.3112137751</v>
      </c>
      <c r="H430" s="1">
        <f t="shared" si="71"/>
        <v>1413775.72448551</v>
      </c>
      <c r="I430" s="1">
        <f t="shared" si="72"/>
        <v>706887.86224275501</v>
      </c>
      <c r="J430" s="1">
        <f t="shared" si="73"/>
        <v>471258.57482850336</v>
      </c>
      <c r="K430" s="1">
        <f t="shared" si="74"/>
        <v>235629.28741425168</v>
      </c>
      <c r="L430" s="1">
        <f t="shared" si="75"/>
        <v>70688.786224275493</v>
      </c>
      <c r="M430">
        <f t="shared" si="68"/>
        <v>2520000000</v>
      </c>
      <c r="N430" s="7"/>
    </row>
    <row r="431" spans="1:14" x14ac:dyDescent="0.25">
      <c r="A431">
        <f t="shared" si="76"/>
        <v>430</v>
      </c>
      <c r="B431" s="1">
        <v>590869500000000</v>
      </c>
      <c r="C431" s="1">
        <v>5049300000000</v>
      </c>
      <c r="D431">
        <f t="shared" si="67"/>
        <v>72.14</v>
      </c>
      <c r="E431" s="1">
        <f t="shared" si="66"/>
        <v>721400</v>
      </c>
      <c r="F431" s="1">
        <f t="shared" si="69"/>
        <v>7029387.3024674244</v>
      </c>
      <c r="G431" s="1">
        <f t="shared" si="70"/>
        <v>3514693.6512337122</v>
      </c>
      <c r="H431" s="1">
        <f t="shared" si="71"/>
        <v>1405877.460493485</v>
      </c>
      <c r="I431" s="1">
        <f t="shared" si="72"/>
        <v>702938.73024674249</v>
      </c>
      <c r="J431" s="1">
        <f t="shared" si="73"/>
        <v>468625.82016449497</v>
      </c>
      <c r="K431" s="1">
        <f t="shared" si="74"/>
        <v>234312.91008224749</v>
      </c>
      <c r="L431" s="1">
        <f t="shared" si="75"/>
        <v>70293.873024674249</v>
      </c>
      <c r="M431">
        <f t="shared" si="68"/>
        <v>2540000000</v>
      </c>
      <c r="N431" s="7"/>
    </row>
    <row r="432" spans="1:14" x14ac:dyDescent="0.25">
      <c r="A432">
        <f t="shared" si="76"/>
        <v>431</v>
      </c>
      <c r="B432" s="1">
        <v>595940500000000</v>
      </c>
      <c r="C432" s="1">
        <v>5071000000000</v>
      </c>
      <c r="D432">
        <f t="shared" si="67"/>
        <v>72.86</v>
      </c>
      <c r="E432" s="1">
        <f t="shared" si="66"/>
        <v>728600</v>
      </c>
      <c r="F432" s="1">
        <f t="shared" si="69"/>
        <v>6989706.2860279987</v>
      </c>
      <c r="G432" s="1">
        <f t="shared" si="70"/>
        <v>3494853.1430139993</v>
      </c>
      <c r="H432" s="1">
        <f t="shared" si="71"/>
        <v>1397941.2572055997</v>
      </c>
      <c r="I432" s="1">
        <f t="shared" si="72"/>
        <v>698970.62860279984</v>
      </c>
      <c r="J432" s="1">
        <f t="shared" si="73"/>
        <v>465980.41906853329</v>
      </c>
      <c r="K432" s="1">
        <f t="shared" si="74"/>
        <v>232990.20953426664</v>
      </c>
      <c r="L432" s="1">
        <f t="shared" si="75"/>
        <v>69897.062860279984</v>
      </c>
      <c r="M432">
        <f t="shared" si="68"/>
        <v>2550000000</v>
      </c>
      <c r="N432" s="7"/>
    </row>
    <row r="433" spans="1:14" x14ac:dyDescent="0.25">
      <c r="A433">
        <f t="shared" si="76"/>
        <v>432</v>
      </c>
      <c r="B433" s="1">
        <v>601033200000000</v>
      </c>
      <c r="C433" s="1">
        <v>5092700000000</v>
      </c>
      <c r="D433">
        <f t="shared" si="67"/>
        <v>73.59</v>
      </c>
      <c r="E433" s="1">
        <f t="shared" si="66"/>
        <v>735900</v>
      </c>
      <c r="F433" s="1">
        <f t="shared" si="69"/>
        <v>6949857.3175703222</v>
      </c>
      <c r="G433" s="1">
        <f t="shared" si="70"/>
        <v>3474928.6587851611</v>
      </c>
      <c r="H433" s="1">
        <f t="shared" si="71"/>
        <v>1389971.4635140644</v>
      </c>
      <c r="I433" s="1">
        <f t="shared" si="72"/>
        <v>694985.73175703222</v>
      </c>
      <c r="J433" s="1">
        <f t="shared" si="73"/>
        <v>463323.82117135479</v>
      </c>
      <c r="K433" s="1">
        <f t="shared" si="74"/>
        <v>231661.9105856774</v>
      </c>
      <c r="L433" s="1">
        <f t="shared" si="75"/>
        <v>69498.573175703219</v>
      </c>
      <c r="M433">
        <f t="shared" si="68"/>
        <v>2560000000</v>
      </c>
      <c r="N433" s="7"/>
    </row>
    <row r="434" spans="1:14" x14ac:dyDescent="0.25">
      <c r="A434">
        <f t="shared" si="76"/>
        <v>433</v>
      </c>
      <c r="B434" s="1">
        <v>606147600000000</v>
      </c>
      <c r="C434" s="1">
        <v>5114400000000</v>
      </c>
      <c r="D434">
        <f t="shared" si="67"/>
        <v>74.33</v>
      </c>
      <c r="E434" s="1">
        <f t="shared" si="66"/>
        <v>743300</v>
      </c>
      <c r="F434" s="1">
        <f t="shared" si="69"/>
        <v>6909861.4287636215</v>
      </c>
      <c r="G434" s="1">
        <f t="shared" si="70"/>
        <v>3454930.7143818107</v>
      </c>
      <c r="H434" s="1">
        <f t="shared" si="71"/>
        <v>1381972.2857527244</v>
      </c>
      <c r="I434" s="1">
        <f t="shared" si="72"/>
        <v>690986.1428763622</v>
      </c>
      <c r="J434" s="1">
        <f t="shared" si="73"/>
        <v>460657.42858424142</v>
      </c>
      <c r="K434" s="1">
        <f t="shared" si="74"/>
        <v>230328.71429212071</v>
      </c>
      <c r="L434" s="1">
        <f t="shared" si="75"/>
        <v>69098.614287636214</v>
      </c>
      <c r="M434">
        <f t="shared" si="68"/>
        <v>2570000000</v>
      </c>
      <c r="N434" s="7"/>
    </row>
    <row r="435" spans="1:14" x14ac:dyDescent="0.25">
      <c r="A435">
        <f t="shared" si="76"/>
        <v>434</v>
      </c>
      <c r="B435" s="1">
        <v>611283700000000</v>
      </c>
      <c r="C435" s="1">
        <v>5136100000000</v>
      </c>
      <c r="D435">
        <f t="shared" si="67"/>
        <v>75.069999999999993</v>
      </c>
      <c r="E435" s="1">
        <f t="shared" si="66"/>
        <v>750699.99999999988</v>
      </c>
      <c r="F435" s="1">
        <f t="shared" si="69"/>
        <v>6870654.0562142013</v>
      </c>
      <c r="G435" s="1">
        <f t="shared" si="70"/>
        <v>3435327.0281071006</v>
      </c>
      <c r="H435" s="1">
        <f t="shared" si="71"/>
        <v>1374130.8112428403</v>
      </c>
      <c r="I435" s="1">
        <f t="shared" si="72"/>
        <v>687065.40562142013</v>
      </c>
      <c r="J435" s="1">
        <f t="shared" si="73"/>
        <v>458043.60374761344</v>
      </c>
      <c r="K435" s="1">
        <f t="shared" si="74"/>
        <v>229021.80187380672</v>
      </c>
      <c r="L435" s="1">
        <f t="shared" si="75"/>
        <v>68706.540562142021</v>
      </c>
      <c r="M435">
        <f t="shared" si="68"/>
        <v>2580000000</v>
      </c>
      <c r="N435" s="7"/>
    </row>
    <row r="436" spans="1:14" x14ac:dyDescent="0.25">
      <c r="A436">
        <f t="shared" si="76"/>
        <v>435</v>
      </c>
      <c r="B436" s="1">
        <v>616441500000000</v>
      </c>
      <c r="C436" s="1">
        <v>5157800000000</v>
      </c>
      <c r="D436">
        <f t="shared" si="67"/>
        <v>75.819999999999993</v>
      </c>
      <c r="E436" s="1">
        <f t="shared" si="66"/>
        <v>758199.99999999988</v>
      </c>
      <c r="F436" s="1">
        <f t="shared" si="69"/>
        <v>6831310.9997362187</v>
      </c>
      <c r="G436" s="1">
        <f t="shared" si="70"/>
        <v>3415655.4998681094</v>
      </c>
      <c r="H436" s="1">
        <f t="shared" si="71"/>
        <v>1366262.1999472436</v>
      </c>
      <c r="I436" s="1">
        <f t="shared" si="72"/>
        <v>683131.09997362178</v>
      </c>
      <c r="J436" s="1">
        <f t="shared" si="73"/>
        <v>455420.73331574787</v>
      </c>
      <c r="K436" s="1">
        <f t="shared" si="74"/>
        <v>227710.36665787394</v>
      </c>
      <c r="L436" s="1">
        <f t="shared" si="75"/>
        <v>68313.109997362189</v>
      </c>
      <c r="M436">
        <f t="shared" si="68"/>
        <v>2590000000</v>
      </c>
      <c r="N436" s="7"/>
    </row>
    <row r="437" spans="1:14" x14ac:dyDescent="0.25">
      <c r="A437">
        <f t="shared" si="76"/>
        <v>436</v>
      </c>
      <c r="B437" s="1">
        <v>621621000000000</v>
      </c>
      <c r="C437" s="1">
        <v>5179500000000</v>
      </c>
      <c r="D437">
        <f t="shared" si="67"/>
        <v>76.58</v>
      </c>
      <c r="E437" s="1">
        <f t="shared" si="66"/>
        <v>765800</v>
      </c>
      <c r="F437" s="1">
        <f t="shared" si="69"/>
        <v>6791851.658396448</v>
      </c>
      <c r="G437" s="1">
        <f t="shared" si="70"/>
        <v>3395925.829198224</v>
      </c>
      <c r="H437" s="1">
        <f t="shared" si="71"/>
        <v>1358370.3316792897</v>
      </c>
      <c r="I437" s="1">
        <f t="shared" si="72"/>
        <v>679185.16583964485</v>
      </c>
      <c r="J437" s="1">
        <f t="shared" si="73"/>
        <v>452790.11055976321</v>
      </c>
      <c r="K437" s="1">
        <f t="shared" si="74"/>
        <v>226395.05527988161</v>
      </c>
      <c r="L437" s="1">
        <f t="shared" si="75"/>
        <v>67918.516583964476</v>
      </c>
      <c r="M437">
        <f t="shared" si="68"/>
        <v>2600000000</v>
      </c>
      <c r="N437" s="7"/>
    </row>
    <row r="438" spans="1:14" x14ac:dyDescent="0.25">
      <c r="A438">
        <f t="shared" si="76"/>
        <v>437</v>
      </c>
      <c r="B438" s="1">
        <v>626822200000000</v>
      </c>
      <c r="C438" s="1">
        <v>5201200000000</v>
      </c>
      <c r="D438">
        <f t="shared" si="67"/>
        <v>77.349999999999994</v>
      </c>
      <c r="E438" s="1">
        <f t="shared" si="66"/>
        <v>773500</v>
      </c>
      <c r="F438" s="1">
        <f t="shared" si="69"/>
        <v>6752294.76405947</v>
      </c>
      <c r="G438" s="1">
        <f t="shared" si="70"/>
        <v>3376147.382029735</v>
      </c>
      <c r="H438" s="1">
        <f t="shared" si="71"/>
        <v>1350458.952811894</v>
      </c>
      <c r="I438" s="1">
        <f t="shared" si="72"/>
        <v>675229.476405947</v>
      </c>
      <c r="J438" s="1">
        <f t="shared" si="73"/>
        <v>450152.98427063134</v>
      </c>
      <c r="K438" s="1">
        <f t="shared" si="74"/>
        <v>225076.49213531567</v>
      </c>
      <c r="L438" s="1">
        <f t="shared" si="75"/>
        <v>67522.947640594706</v>
      </c>
      <c r="M438">
        <f t="shared" si="68"/>
        <v>2610000000</v>
      </c>
      <c r="N438" s="7"/>
    </row>
    <row r="439" spans="1:14" x14ac:dyDescent="0.25">
      <c r="A439">
        <f t="shared" si="76"/>
        <v>438</v>
      </c>
      <c r="B439" s="1">
        <v>632045100000000</v>
      </c>
      <c r="C439" s="1">
        <v>5222900000000</v>
      </c>
      <c r="D439">
        <f t="shared" si="67"/>
        <v>78.12</v>
      </c>
      <c r="E439" s="1">
        <f t="shared" si="66"/>
        <v>781200</v>
      </c>
      <c r="F439" s="1">
        <f t="shared" si="69"/>
        <v>6713517.6651305687</v>
      </c>
      <c r="G439" s="1">
        <f t="shared" si="70"/>
        <v>3356758.8325652843</v>
      </c>
      <c r="H439" s="1">
        <f t="shared" si="71"/>
        <v>1342703.5330261136</v>
      </c>
      <c r="I439" s="1">
        <f t="shared" si="72"/>
        <v>671351.76651305682</v>
      </c>
      <c r="J439" s="1">
        <f t="shared" si="73"/>
        <v>447567.84434203792</v>
      </c>
      <c r="K439" s="1">
        <f t="shared" si="74"/>
        <v>223783.92217101896</v>
      </c>
      <c r="L439" s="1">
        <f t="shared" si="75"/>
        <v>67135.176651305679</v>
      </c>
      <c r="M439">
        <f t="shared" si="68"/>
        <v>2620000000</v>
      </c>
      <c r="N439" s="7"/>
    </row>
    <row r="440" spans="1:14" x14ac:dyDescent="0.25">
      <c r="A440">
        <f t="shared" si="76"/>
        <v>439</v>
      </c>
      <c r="B440" s="1">
        <v>637289700000000</v>
      </c>
      <c r="C440" s="1">
        <v>5244600000000</v>
      </c>
      <c r="D440">
        <f t="shared" si="67"/>
        <v>78.900000000000006</v>
      </c>
      <c r="E440" s="1">
        <f t="shared" si="66"/>
        <v>789000</v>
      </c>
      <c r="F440" s="1">
        <f t="shared" si="69"/>
        <v>6674651.457541191</v>
      </c>
      <c r="G440" s="1">
        <f t="shared" si="70"/>
        <v>3337325.7287705955</v>
      </c>
      <c r="H440" s="1">
        <f t="shared" si="71"/>
        <v>1334930.2915082383</v>
      </c>
      <c r="I440" s="1">
        <f t="shared" si="72"/>
        <v>667465.14575411915</v>
      </c>
      <c r="J440" s="1">
        <f t="shared" si="73"/>
        <v>444976.76383607945</v>
      </c>
      <c r="K440" s="1">
        <f t="shared" si="74"/>
        <v>222488.38191803973</v>
      </c>
      <c r="L440" s="1">
        <f t="shared" si="75"/>
        <v>66746.514575411915</v>
      </c>
      <c r="M440">
        <f t="shared" si="68"/>
        <v>2630000000</v>
      </c>
      <c r="N440" s="7"/>
    </row>
    <row r="441" spans="1:14" x14ac:dyDescent="0.25">
      <c r="A441">
        <f t="shared" si="76"/>
        <v>440</v>
      </c>
      <c r="B441" s="1">
        <v>642556000000000</v>
      </c>
      <c r="C441" s="1">
        <v>5266300000000</v>
      </c>
      <c r="D441">
        <f t="shared" si="67"/>
        <v>79.69</v>
      </c>
      <c r="E441" s="1">
        <f t="shared" si="66"/>
        <v>796900</v>
      </c>
      <c r="F441" s="1">
        <f t="shared" si="69"/>
        <v>6635713.3893838627</v>
      </c>
      <c r="G441" s="1">
        <f t="shared" si="70"/>
        <v>3317856.6946919314</v>
      </c>
      <c r="H441" s="1">
        <f t="shared" si="71"/>
        <v>1327142.6778767726</v>
      </c>
      <c r="I441" s="1">
        <f t="shared" si="72"/>
        <v>663571.3389383863</v>
      </c>
      <c r="J441" s="1">
        <f t="shared" si="73"/>
        <v>442380.89262559084</v>
      </c>
      <c r="K441" s="1">
        <f t="shared" si="74"/>
        <v>221190.44631279542</v>
      </c>
      <c r="L441" s="1">
        <f t="shared" si="75"/>
        <v>66357.133893838618</v>
      </c>
      <c r="M441">
        <f t="shared" si="68"/>
        <v>2640000000</v>
      </c>
      <c r="N441" s="7"/>
    </row>
    <row r="442" spans="1:14" x14ac:dyDescent="0.25">
      <c r="A442">
        <f t="shared" si="76"/>
        <v>441</v>
      </c>
      <c r="B442" s="1">
        <v>647844000000000</v>
      </c>
      <c r="C442" s="1">
        <v>5288000000000</v>
      </c>
      <c r="D442">
        <f t="shared" si="67"/>
        <v>80.489999999999995</v>
      </c>
      <c r="E442" s="1">
        <f t="shared" si="66"/>
        <v>804900</v>
      </c>
      <c r="F442" s="1">
        <f t="shared" si="69"/>
        <v>6596720.0894521056</v>
      </c>
      <c r="G442" s="1">
        <f t="shared" si="70"/>
        <v>3298360.0447260528</v>
      </c>
      <c r="H442" s="1">
        <f t="shared" si="71"/>
        <v>1319344.0178904212</v>
      </c>
      <c r="I442" s="1">
        <f t="shared" si="72"/>
        <v>659672.0089452106</v>
      </c>
      <c r="J442" s="1">
        <f t="shared" si="73"/>
        <v>439781.33929680707</v>
      </c>
      <c r="K442" s="1">
        <f t="shared" si="74"/>
        <v>219890.66964840353</v>
      </c>
      <c r="L442" s="1">
        <f t="shared" si="75"/>
        <v>65967.200894521055</v>
      </c>
      <c r="M442">
        <f t="shared" si="68"/>
        <v>2650000000</v>
      </c>
      <c r="N442" s="7"/>
    </row>
    <row r="443" spans="1:14" x14ac:dyDescent="0.25">
      <c r="A443">
        <f t="shared" si="76"/>
        <v>442</v>
      </c>
      <c r="B443" s="1">
        <v>653153700000000</v>
      </c>
      <c r="C443" s="1">
        <v>5309700000000</v>
      </c>
      <c r="D443">
        <f t="shared" si="67"/>
        <v>81.290000000000006</v>
      </c>
      <c r="E443" s="1">
        <f t="shared" si="66"/>
        <v>812900.00000000012</v>
      </c>
      <c r="F443" s="1">
        <f t="shared" si="69"/>
        <v>6558494.2797392048</v>
      </c>
      <c r="G443" s="1">
        <f t="shared" si="70"/>
        <v>3279247.1398696024</v>
      </c>
      <c r="H443" s="1">
        <f t="shared" si="71"/>
        <v>1311698.855947841</v>
      </c>
      <c r="I443" s="1">
        <f t="shared" si="72"/>
        <v>655849.42797392048</v>
      </c>
      <c r="J443" s="1">
        <f t="shared" si="73"/>
        <v>437232.95198261359</v>
      </c>
      <c r="K443" s="1">
        <f t="shared" si="74"/>
        <v>218616.4759913068</v>
      </c>
      <c r="L443" s="1">
        <f t="shared" si="75"/>
        <v>65584.942797392039</v>
      </c>
      <c r="M443">
        <f t="shared" si="68"/>
        <v>2670000000</v>
      </c>
      <c r="N443" s="7"/>
    </row>
    <row r="444" spans="1:14" x14ac:dyDescent="0.25">
      <c r="A444">
        <f t="shared" si="76"/>
        <v>443</v>
      </c>
      <c r="B444" s="1">
        <v>658485100000000</v>
      </c>
      <c r="C444" s="1">
        <v>5331400000000</v>
      </c>
      <c r="D444">
        <f t="shared" si="67"/>
        <v>82.1</v>
      </c>
      <c r="E444" s="1">
        <f t="shared" si="66"/>
        <v>821000</v>
      </c>
      <c r="F444" s="1">
        <f t="shared" si="69"/>
        <v>6520219.244823386</v>
      </c>
      <c r="G444" s="1">
        <f t="shared" si="70"/>
        <v>3260109.622411693</v>
      </c>
      <c r="H444" s="1">
        <f t="shared" si="71"/>
        <v>1304043.8489646772</v>
      </c>
      <c r="I444" s="1">
        <f t="shared" si="72"/>
        <v>652021.9244823386</v>
      </c>
      <c r="J444" s="1">
        <f t="shared" si="73"/>
        <v>434681.28298822575</v>
      </c>
      <c r="K444" s="1">
        <f t="shared" si="74"/>
        <v>217340.64149411288</v>
      </c>
      <c r="L444" s="1">
        <f t="shared" si="75"/>
        <v>65202.192448233858</v>
      </c>
      <c r="M444">
        <f t="shared" si="68"/>
        <v>2680000000</v>
      </c>
      <c r="N444" s="7"/>
    </row>
    <row r="445" spans="1:14" x14ac:dyDescent="0.25">
      <c r="A445">
        <f t="shared" si="76"/>
        <v>444</v>
      </c>
      <c r="B445" s="1">
        <v>663838200000000</v>
      </c>
      <c r="C445" s="1">
        <v>5353100000000</v>
      </c>
      <c r="D445">
        <f t="shared" si="67"/>
        <v>82.93</v>
      </c>
      <c r="E445" s="1">
        <f t="shared" si="66"/>
        <v>829300.00000000012</v>
      </c>
      <c r="F445" s="1">
        <f t="shared" si="69"/>
        <v>6481128.6627276009</v>
      </c>
      <c r="G445" s="1">
        <f t="shared" si="70"/>
        <v>3240564.3313638004</v>
      </c>
      <c r="H445" s="1">
        <f t="shared" si="71"/>
        <v>1296225.7325455202</v>
      </c>
      <c r="I445" s="1">
        <f t="shared" si="72"/>
        <v>648112.86627276009</v>
      </c>
      <c r="J445" s="1">
        <f t="shared" si="73"/>
        <v>432075.24418184004</v>
      </c>
      <c r="K445" s="1">
        <f t="shared" si="74"/>
        <v>216037.62209092002</v>
      </c>
      <c r="L445" s="1">
        <f t="shared" si="75"/>
        <v>64811.286627276007</v>
      </c>
      <c r="M445">
        <f t="shared" si="68"/>
        <v>2690000000</v>
      </c>
      <c r="N445" s="7"/>
    </row>
    <row r="446" spans="1:14" x14ac:dyDescent="0.25">
      <c r="A446">
        <f t="shared" si="76"/>
        <v>445</v>
      </c>
      <c r="B446" s="1">
        <v>669213000000000</v>
      </c>
      <c r="C446" s="1">
        <v>5374800000000</v>
      </c>
      <c r="D446">
        <f t="shared" si="67"/>
        <v>83.76</v>
      </c>
      <c r="E446" s="1">
        <f t="shared" si="66"/>
        <v>837600</v>
      </c>
      <c r="F446" s="1">
        <f t="shared" si="69"/>
        <v>6442812.7984718243</v>
      </c>
      <c r="G446" s="1">
        <f t="shared" si="70"/>
        <v>3221406.3992359121</v>
      </c>
      <c r="H446" s="1">
        <f t="shared" si="71"/>
        <v>1288562.5596943649</v>
      </c>
      <c r="I446" s="1">
        <f t="shared" si="72"/>
        <v>644281.27984718245</v>
      </c>
      <c r="J446" s="1">
        <f t="shared" si="73"/>
        <v>429520.85323145497</v>
      </c>
      <c r="K446" s="1">
        <f t="shared" si="74"/>
        <v>214760.42661572748</v>
      </c>
      <c r="L446" s="1">
        <f t="shared" si="75"/>
        <v>64428.127984718245</v>
      </c>
      <c r="M446">
        <f t="shared" si="68"/>
        <v>2700000000</v>
      </c>
      <c r="N446" s="7"/>
    </row>
    <row r="447" spans="1:14" x14ac:dyDescent="0.25">
      <c r="A447">
        <f t="shared" si="76"/>
        <v>446</v>
      </c>
      <c r="B447" s="1">
        <v>674609500000000</v>
      </c>
      <c r="C447" s="1">
        <v>5396500000000</v>
      </c>
      <c r="D447">
        <f t="shared" si="67"/>
        <v>84.59</v>
      </c>
      <c r="E447" s="1">
        <f t="shared" si="66"/>
        <v>845900</v>
      </c>
      <c r="F447" s="1">
        <f t="shared" si="69"/>
        <v>6405248.8473814875</v>
      </c>
      <c r="G447" s="1">
        <f t="shared" si="70"/>
        <v>3202624.4236907437</v>
      </c>
      <c r="H447" s="1">
        <f t="shared" si="71"/>
        <v>1281049.7694762975</v>
      </c>
      <c r="I447" s="1">
        <f t="shared" si="72"/>
        <v>640524.88473814877</v>
      </c>
      <c r="J447" s="1">
        <f t="shared" si="73"/>
        <v>427016.58982543246</v>
      </c>
      <c r="K447" s="1">
        <f t="shared" si="74"/>
        <v>213508.29491271623</v>
      </c>
      <c r="L447" s="1">
        <f t="shared" si="75"/>
        <v>64052.488473814868</v>
      </c>
      <c r="M447">
        <f t="shared" si="68"/>
        <v>2710000000</v>
      </c>
      <c r="N447" s="7"/>
    </row>
    <row r="448" spans="1:14" x14ac:dyDescent="0.25">
      <c r="A448">
        <f t="shared" si="76"/>
        <v>447</v>
      </c>
      <c r="B448" s="1">
        <v>680027700000000</v>
      </c>
      <c r="C448" s="1">
        <v>5418200000000</v>
      </c>
      <c r="D448">
        <f t="shared" si="67"/>
        <v>85.44</v>
      </c>
      <c r="E448" s="1">
        <f t="shared" si="66"/>
        <v>854400</v>
      </c>
      <c r="F448" s="1">
        <f t="shared" si="69"/>
        <v>6366924.1573033705</v>
      </c>
      <c r="G448" s="1">
        <f t="shared" si="70"/>
        <v>3183462.0786516853</v>
      </c>
      <c r="H448" s="1">
        <f t="shared" si="71"/>
        <v>1273384.8314606741</v>
      </c>
      <c r="I448" s="1">
        <f t="shared" si="72"/>
        <v>636692.41573033703</v>
      </c>
      <c r="J448" s="1">
        <f t="shared" si="73"/>
        <v>424461.61048689141</v>
      </c>
      <c r="K448" s="1">
        <f t="shared" si="74"/>
        <v>212230.80524344571</v>
      </c>
      <c r="L448" s="1">
        <f t="shared" si="75"/>
        <v>63669.241573033709</v>
      </c>
      <c r="M448">
        <f t="shared" si="68"/>
        <v>2720000000</v>
      </c>
      <c r="N448" s="7"/>
    </row>
    <row r="449" spans="1:14" x14ac:dyDescent="0.25">
      <c r="A449">
        <f t="shared" si="76"/>
        <v>448</v>
      </c>
      <c r="B449" s="1">
        <v>685467600000000</v>
      </c>
      <c r="C449" s="1">
        <v>5439900000000</v>
      </c>
      <c r="D449">
        <f t="shared" si="67"/>
        <v>86.29</v>
      </c>
      <c r="E449" s="1">
        <f t="shared" si="66"/>
        <v>862900.00000000012</v>
      </c>
      <c r="F449" s="1">
        <f t="shared" si="69"/>
        <v>6329354.5022598207</v>
      </c>
      <c r="G449" s="1">
        <f t="shared" si="70"/>
        <v>3164677.2511299103</v>
      </c>
      <c r="H449" s="1">
        <f t="shared" si="71"/>
        <v>1265870.900451964</v>
      </c>
      <c r="I449" s="1">
        <f t="shared" si="72"/>
        <v>632935.450225982</v>
      </c>
      <c r="J449" s="1">
        <f t="shared" si="73"/>
        <v>421956.96681732137</v>
      </c>
      <c r="K449" s="1">
        <f t="shared" si="74"/>
        <v>210978.48340866069</v>
      </c>
      <c r="L449" s="1">
        <f t="shared" si="75"/>
        <v>63293.545022598206</v>
      </c>
      <c r="M449">
        <f t="shared" si="68"/>
        <v>2730000000</v>
      </c>
      <c r="N449" s="7"/>
    </row>
    <row r="450" spans="1:14" x14ac:dyDescent="0.25">
      <c r="A450">
        <f t="shared" si="76"/>
        <v>449</v>
      </c>
      <c r="B450" s="1">
        <v>690929200000000</v>
      </c>
      <c r="C450" s="1">
        <v>5461600000000</v>
      </c>
      <c r="D450">
        <f t="shared" si="67"/>
        <v>87.16</v>
      </c>
      <c r="E450" s="1">
        <f t="shared" ref="E450:E500" si="77">+D450*10000</f>
        <v>871600</v>
      </c>
      <c r="F450" s="1">
        <f t="shared" si="69"/>
        <v>6291073.887104176</v>
      </c>
      <c r="G450" s="1">
        <f t="shared" si="70"/>
        <v>3145536.943552088</v>
      </c>
      <c r="H450" s="1">
        <f t="shared" si="71"/>
        <v>1258214.7774208353</v>
      </c>
      <c r="I450" s="1">
        <f t="shared" si="72"/>
        <v>629107.38871041767</v>
      </c>
      <c r="J450" s="1">
        <f t="shared" si="73"/>
        <v>419404.92580694507</v>
      </c>
      <c r="K450" s="1">
        <f t="shared" si="74"/>
        <v>209702.46290347254</v>
      </c>
      <c r="L450" s="1">
        <f t="shared" si="75"/>
        <v>62910.738871041765</v>
      </c>
      <c r="M450">
        <f t="shared" si="68"/>
        <v>2740000000</v>
      </c>
      <c r="N450" s="7"/>
    </row>
    <row r="451" spans="1:14" x14ac:dyDescent="0.25">
      <c r="A451">
        <f t="shared" si="76"/>
        <v>450</v>
      </c>
      <c r="B451" s="1">
        <v>696412500000000</v>
      </c>
      <c r="C451" s="1">
        <v>5483300000000</v>
      </c>
      <c r="D451">
        <f t="shared" ref="D451:D501" si="78">ROUND(1.01^A451,2)</f>
        <v>88.03</v>
      </c>
      <c r="E451" s="1">
        <f t="shared" si="77"/>
        <v>880300</v>
      </c>
      <c r="F451" s="1">
        <f t="shared" si="69"/>
        <v>6253549.926161536</v>
      </c>
      <c r="G451" s="1">
        <f t="shared" si="70"/>
        <v>3126774.963080768</v>
      </c>
      <c r="H451" s="1">
        <f t="shared" si="71"/>
        <v>1250709.9852323071</v>
      </c>
      <c r="I451" s="1">
        <f t="shared" si="72"/>
        <v>625354.99261615355</v>
      </c>
      <c r="J451" s="1">
        <f t="shared" si="73"/>
        <v>416903.32841076906</v>
      </c>
      <c r="K451" s="1">
        <f t="shared" si="74"/>
        <v>208451.66420538453</v>
      </c>
      <c r="L451" s="1">
        <f t="shared" si="75"/>
        <v>62535.499261615361</v>
      </c>
      <c r="M451">
        <f t="shared" ref="M451:M501" si="79">ROUND(MAX(E452*6.3*10%,C452*0.05%),-MAX(2,INT(LOG10(MAX(E452*6.3*10%,C452*0.05%)))-2))</f>
        <v>2750000000</v>
      </c>
      <c r="N451" s="7"/>
    </row>
    <row r="452" spans="1:14" x14ac:dyDescent="0.25">
      <c r="A452">
        <f t="shared" si="76"/>
        <v>451</v>
      </c>
      <c r="B452" s="1">
        <v>701917500000000</v>
      </c>
      <c r="C452" s="1">
        <v>5505000000000</v>
      </c>
      <c r="D452">
        <f t="shared" si="78"/>
        <v>88.91</v>
      </c>
      <c r="E452" s="1">
        <f t="shared" si="77"/>
        <v>889100</v>
      </c>
      <c r="F452" s="1">
        <f t="shared" ref="F452:F501" si="80">$C453/($E452*1)</f>
        <v>6216061.1854684511</v>
      </c>
      <c r="G452" s="1">
        <f t="shared" ref="G452:G501" si="81">$C453/($E452*2)</f>
        <v>3108030.5927342256</v>
      </c>
      <c r="H452" s="1">
        <f t="shared" ref="H452:H501" si="82">$C453/($E452*5)</f>
        <v>1243212.2370936903</v>
      </c>
      <c r="I452" s="1">
        <f t="shared" ref="I452:I501" si="83">$C453/($E452*10)</f>
        <v>621606.11854684516</v>
      </c>
      <c r="J452" s="1">
        <f t="shared" ref="J452:J501" si="84">$C453/($E452*15)</f>
        <v>414404.07903123007</v>
      </c>
      <c r="K452" s="1">
        <f t="shared" ref="K452:K501" si="85">$C453/($E452*30)</f>
        <v>207202.03951561503</v>
      </c>
      <c r="L452" s="1">
        <f t="shared" ref="L452:L501" si="86">$C453/($E452*100)</f>
        <v>62160.61185468451</v>
      </c>
      <c r="M452">
        <f t="shared" si="79"/>
        <v>2760000000</v>
      </c>
      <c r="N452" s="7"/>
    </row>
    <row r="453" spans="1:14" x14ac:dyDescent="0.25">
      <c r="A453">
        <f t="shared" ref="A453:A501" si="87">+A452+1</f>
        <v>452</v>
      </c>
      <c r="B453" s="1">
        <v>707444200000000</v>
      </c>
      <c r="C453" s="1">
        <v>5526700000000</v>
      </c>
      <c r="D453">
        <f t="shared" si="78"/>
        <v>89.8</v>
      </c>
      <c r="E453" s="1">
        <f t="shared" si="77"/>
        <v>898000</v>
      </c>
      <c r="F453" s="1">
        <f t="shared" si="80"/>
        <v>6178619.1536748325</v>
      </c>
      <c r="G453" s="1">
        <f t="shared" si="81"/>
        <v>3089309.5768374163</v>
      </c>
      <c r="H453" s="1">
        <f t="shared" si="82"/>
        <v>1235723.8307349666</v>
      </c>
      <c r="I453" s="1">
        <f t="shared" si="83"/>
        <v>617861.91536748328</v>
      </c>
      <c r="J453" s="1">
        <f t="shared" si="84"/>
        <v>411907.94357832219</v>
      </c>
      <c r="K453" s="1">
        <f t="shared" si="85"/>
        <v>205953.97178916109</v>
      </c>
      <c r="L453" s="1">
        <f t="shared" si="86"/>
        <v>61786.191536748331</v>
      </c>
      <c r="M453">
        <f t="shared" si="79"/>
        <v>2770000000</v>
      </c>
      <c r="N453" s="7"/>
    </row>
    <row r="454" spans="1:14" x14ac:dyDescent="0.25">
      <c r="A454">
        <f t="shared" si="87"/>
        <v>453</v>
      </c>
      <c r="B454" s="1">
        <v>712992600000000</v>
      </c>
      <c r="C454" s="1">
        <v>5548400000000</v>
      </c>
      <c r="D454">
        <f t="shared" si="78"/>
        <v>90.69</v>
      </c>
      <c r="E454" s="1">
        <f t="shared" si="77"/>
        <v>906900</v>
      </c>
      <c r="F454" s="1">
        <f t="shared" si="80"/>
        <v>6141912.0079391329</v>
      </c>
      <c r="G454" s="1">
        <f t="shared" si="81"/>
        <v>3070956.0039695664</v>
      </c>
      <c r="H454" s="1">
        <f t="shared" si="82"/>
        <v>1228382.4015878267</v>
      </c>
      <c r="I454" s="1">
        <f t="shared" si="83"/>
        <v>614191.20079391333</v>
      </c>
      <c r="J454" s="1">
        <f t="shared" si="84"/>
        <v>409460.80052927556</v>
      </c>
      <c r="K454" s="1">
        <f t="shared" si="85"/>
        <v>204730.40026463778</v>
      </c>
      <c r="L454" s="1">
        <f t="shared" si="86"/>
        <v>61419.12007939133</v>
      </c>
      <c r="M454">
        <f t="shared" si="79"/>
        <v>2790000000</v>
      </c>
      <c r="N454" s="7"/>
    </row>
    <row r="455" spans="1:14" x14ac:dyDescent="0.25">
      <c r="A455">
        <f t="shared" si="87"/>
        <v>454</v>
      </c>
      <c r="B455" s="1">
        <v>718562700000000</v>
      </c>
      <c r="C455" s="1">
        <v>5570100000000</v>
      </c>
      <c r="D455">
        <f t="shared" si="78"/>
        <v>91.6</v>
      </c>
      <c r="E455" s="1">
        <f t="shared" si="77"/>
        <v>916000</v>
      </c>
      <c r="F455" s="1">
        <f t="shared" si="80"/>
        <v>6104585.1528384276</v>
      </c>
      <c r="G455" s="1">
        <f t="shared" si="81"/>
        <v>3052292.5764192138</v>
      </c>
      <c r="H455" s="1">
        <f t="shared" si="82"/>
        <v>1220917.0305676856</v>
      </c>
      <c r="I455" s="1">
        <f t="shared" si="83"/>
        <v>610458.5152838428</v>
      </c>
      <c r="J455" s="1">
        <f t="shared" si="84"/>
        <v>406972.34352256189</v>
      </c>
      <c r="K455" s="1">
        <f t="shared" si="85"/>
        <v>203486.17176128094</v>
      </c>
      <c r="L455" s="1">
        <f t="shared" si="86"/>
        <v>61045.851528384279</v>
      </c>
      <c r="M455">
        <f t="shared" si="79"/>
        <v>2800000000</v>
      </c>
      <c r="N455" s="7"/>
    </row>
    <row r="456" spans="1:14" x14ac:dyDescent="0.25">
      <c r="A456">
        <f t="shared" si="87"/>
        <v>455</v>
      </c>
      <c r="B456" s="1">
        <v>724154500000000</v>
      </c>
      <c r="C456" s="1">
        <v>5591800000000</v>
      </c>
      <c r="D456">
        <f t="shared" si="78"/>
        <v>92.52</v>
      </c>
      <c r="E456" s="1">
        <f t="shared" si="77"/>
        <v>925200</v>
      </c>
      <c r="F456" s="1">
        <f t="shared" si="80"/>
        <v>6067336.7920449637</v>
      </c>
      <c r="G456" s="1">
        <f t="shared" si="81"/>
        <v>3033668.3960224818</v>
      </c>
      <c r="H456" s="1">
        <f t="shared" si="82"/>
        <v>1213467.3584089926</v>
      </c>
      <c r="I456" s="1">
        <f t="shared" si="83"/>
        <v>606733.67920449632</v>
      </c>
      <c r="J456" s="1">
        <f t="shared" si="84"/>
        <v>404489.11946966423</v>
      </c>
      <c r="K456" s="1">
        <f t="shared" si="85"/>
        <v>202244.55973483212</v>
      </c>
      <c r="L456" s="1">
        <f t="shared" si="86"/>
        <v>60673.367920449629</v>
      </c>
      <c r="M456">
        <f t="shared" si="79"/>
        <v>2810000000</v>
      </c>
      <c r="N456" s="7"/>
    </row>
    <row r="457" spans="1:14" x14ac:dyDescent="0.25">
      <c r="A457">
        <f t="shared" si="87"/>
        <v>456</v>
      </c>
      <c r="B457" s="1">
        <v>729768000000000</v>
      </c>
      <c r="C457" s="1">
        <v>5613500000000</v>
      </c>
      <c r="D457">
        <f t="shared" si="78"/>
        <v>93.44</v>
      </c>
      <c r="E457" s="1">
        <f t="shared" si="77"/>
        <v>934400</v>
      </c>
      <c r="F457" s="1">
        <f t="shared" si="80"/>
        <v>6030821.9178082189</v>
      </c>
      <c r="G457" s="1">
        <f t="shared" si="81"/>
        <v>3015410.9589041094</v>
      </c>
      <c r="H457" s="1">
        <f t="shared" si="82"/>
        <v>1206164.3835616438</v>
      </c>
      <c r="I457" s="1">
        <f t="shared" si="83"/>
        <v>603082.19178082189</v>
      </c>
      <c r="J457" s="1">
        <f t="shared" si="84"/>
        <v>402054.79452054796</v>
      </c>
      <c r="K457" s="1">
        <f t="shared" si="85"/>
        <v>201027.39726027398</v>
      </c>
      <c r="L457" s="1">
        <f t="shared" si="86"/>
        <v>60308.219178082189</v>
      </c>
      <c r="M457">
        <f t="shared" si="79"/>
        <v>2820000000</v>
      </c>
      <c r="N457" s="7"/>
    </row>
    <row r="458" spans="1:14" x14ac:dyDescent="0.25">
      <c r="A458">
        <f t="shared" si="87"/>
        <v>457</v>
      </c>
      <c r="B458" s="1">
        <v>735403200000000</v>
      </c>
      <c r="C458" s="1">
        <v>5635200000000</v>
      </c>
      <c r="D458">
        <f t="shared" si="78"/>
        <v>94.38</v>
      </c>
      <c r="E458" s="1">
        <f t="shared" si="77"/>
        <v>943800</v>
      </c>
      <c r="F458" s="1">
        <f t="shared" si="80"/>
        <v>5993748.6755668577</v>
      </c>
      <c r="G458" s="1">
        <f t="shared" si="81"/>
        <v>2996874.3377834288</v>
      </c>
      <c r="H458" s="1">
        <f t="shared" si="82"/>
        <v>1198749.7351133714</v>
      </c>
      <c r="I458" s="1">
        <f t="shared" si="83"/>
        <v>599374.8675566857</v>
      </c>
      <c r="J458" s="1">
        <f t="shared" si="84"/>
        <v>399583.2450377905</v>
      </c>
      <c r="K458" s="1">
        <f t="shared" si="85"/>
        <v>199791.62251889525</v>
      </c>
      <c r="L458" s="1">
        <f t="shared" si="86"/>
        <v>59937.486755668571</v>
      </c>
      <c r="M458">
        <f t="shared" si="79"/>
        <v>2830000000</v>
      </c>
      <c r="N458" s="7"/>
    </row>
    <row r="459" spans="1:14" x14ac:dyDescent="0.25">
      <c r="A459">
        <f t="shared" si="87"/>
        <v>458</v>
      </c>
      <c r="B459" s="1">
        <v>741060100000000</v>
      </c>
      <c r="C459" s="1">
        <v>5656900000000</v>
      </c>
      <c r="D459">
        <f t="shared" si="78"/>
        <v>95.32</v>
      </c>
      <c r="E459" s="1">
        <f t="shared" si="77"/>
        <v>953199.99999999988</v>
      </c>
      <c r="F459" s="1">
        <f t="shared" si="80"/>
        <v>5957406.6302979449</v>
      </c>
      <c r="G459" s="1">
        <f t="shared" si="81"/>
        <v>2978703.3151489724</v>
      </c>
      <c r="H459" s="1">
        <f t="shared" si="82"/>
        <v>1191481.3260595889</v>
      </c>
      <c r="I459" s="1">
        <f t="shared" si="83"/>
        <v>595740.66302979446</v>
      </c>
      <c r="J459" s="1">
        <f t="shared" si="84"/>
        <v>397160.442019863</v>
      </c>
      <c r="K459" s="1">
        <f t="shared" si="85"/>
        <v>198580.2210099315</v>
      </c>
      <c r="L459" s="1">
        <f t="shared" si="86"/>
        <v>59574.066302979445</v>
      </c>
      <c r="M459">
        <f t="shared" si="79"/>
        <v>2840000000</v>
      </c>
      <c r="N459" s="7"/>
    </row>
    <row r="460" spans="1:14" x14ac:dyDescent="0.25">
      <c r="A460">
        <f t="shared" si="87"/>
        <v>459</v>
      </c>
      <c r="B460" s="1">
        <v>746738700000000</v>
      </c>
      <c r="C460" s="1">
        <v>5678600000000</v>
      </c>
      <c r="D460">
        <f t="shared" si="78"/>
        <v>96.27</v>
      </c>
      <c r="E460" s="1">
        <f t="shared" si="77"/>
        <v>962700</v>
      </c>
      <c r="F460" s="1">
        <f t="shared" si="80"/>
        <v>5921159.2396385167</v>
      </c>
      <c r="G460" s="1">
        <f t="shared" si="81"/>
        <v>2960579.6198192583</v>
      </c>
      <c r="H460" s="1">
        <f t="shared" si="82"/>
        <v>1184231.8479277033</v>
      </c>
      <c r="I460" s="1">
        <f t="shared" si="83"/>
        <v>592115.92396385164</v>
      </c>
      <c r="J460" s="1">
        <f t="shared" si="84"/>
        <v>394743.94930923445</v>
      </c>
      <c r="K460" s="1">
        <f t="shared" si="85"/>
        <v>197371.97465461722</v>
      </c>
      <c r="L460" s="1">
        <f t="shared" si="86"/>
        <v>59211.592396385167</v>
      </c>
      <c r="M460">
        <f t="shared" si="79"/>
        <v>2850000000</v>
      </c>
      <c r="N460" s="7"/>
    </row>
    <row r="461" spans="1:14" x14ac:dyDescent="0.25">
      <c r="A461">
        <f t="shared" si="87"/>
        <v>460</v>
      </c>
      <c r="B461" s="1">
        <v>752439000000000</v>
      </c>
      <c r="C461" s="1">
        <v>5700300000000</v>
      </c>
      <c r="D461">
        <f t="shared" si="78"/>
        <v>97.24</v>
      </c>
      <c r="E461" s="1">
        <f t="shared" si="77"/>
        <v>972400</v>
      </c>
      <c r="F461" s="1">
        <f t="shared" si="80"/>
        <v>5884409.70793912</v>
      </c>
      <c r="G461" s="1">
        <f t="shared" si="81"/>
        <v>2942204.85396956</v>
      </c>
      <c r="H461" s="1">
        <f t="shared" si="82"/>
        <v>1176881.9415878239</v>
      </c>
      <c r="I461" s="1">
        <f t="shared" si="83"/>
        <v>588440.97079391195</v>
      </c>
      <c r="J461" s="1">
        <f t="shared" si="84"/>
        <v>392293.98052927468</v>
      </c>
      <c r="K461" s="1">
        <f t="shared" si="85"/>
        <v>196146.99026463734</v>
      </c>
      <c r="L461" s="1">
        <f t="shared" si="86"/>
        <v>58844.097079391198</v>
      </c>
      <c r="M461">
        <f t="shared" si="79"/>
        <v>2860000000</v>
      </c>
      <c r="N461" s="7"/>
    </row>
    <row r="462" spans="1:14" x14ac:dyDescent="0.25">
      <c r="A462">
        <f t="shared" si="87"/>
        <v>461</v>
      </c>
      <c r="B462" s="1">
        <v>758161000000000</v>
      </c>
      <c r="C462" s="1">
        <v>5722000000000</v>
      </c>
      <c r="D462">
        <f t="shared" si="78"/>
        <v>98.21</v>
      </c>
      <c r="E462" s="1">
        <f t="shared" si="77"/>
        <v>982099.99999999988</v>
      </c>
      <c r="F462" s="1">
        <f t="shared" si="80"/>
        <v>5848386.1113939527</v>
      </c>
      <c r="G462" s="1">
        <f t="shared" si="81"/>
        <v>2924193.0556969764</v>
      </c>
      <c r="H462" s="1">
        <f t="shared" si="82"/>
        <v>1169677.2222787905</v>
      </c>
      <c r="I462" s="1">
        <f t="shared" si="83"/>
        <v>584838.61113939527</v>
      </c>
      <c r="J462" s="1">
        <f t="shared" si="84"/>
        <v>389892.4074262635</v>
      </c>
      <c r="K462" s="1">
        <f t="shared" si="85"/>
        <v>194946.20371313175</v>
      </c>
      <c r="L462" s="1">
        <f t="shared" si="86"/>
        <v>58483.861113939529</v>
      </c>
      <c r="M462">
        <f t="shared" si="79"/>
        <v>2870000000</v>
      </c>
      <c r="N462" s="7"/>
    </row>
    <row r="463" spans="1:14" x14ac:dyDescent="0.25">
      <c r="A463">
        <f t="shared" si="87"/>
        <v>462</v>
      </c>
      <c r="B463" s="1">
        <v>763904700000000</v>
      </c>
      <c r="C463" s="1">
        <v>5743700000000</v>
      </c>
      <c r="D463">
        <f t="shared" si="78"/>
        <v>99.19</v>
      </c>
      <c r="E463" s="1">
        <f t="shared" si="77"/>
        <v>991900</v>
      </c>
      <c r="F463" s="1">
        <f t="shared" si="80"/>
        <v>5812481.0968847666</v>
      </c>
      <c r="G463" s="1">
        <f t="shared" si="81"/>
        <v>2906240.5484423833</v>
      </c>
      <c r="H463" s="1">
        <f t="shared" si="82"/>
        <v>1162496.2193769533</v>
      </c>
      <c r="I463" s="1">
        <f t="shared" si="83"/>
        <v>581248.10968847666</v>
      </c>
      <c r="J463" s="1">
        <f t="shared" si="84"/>
        <v>387498.73979231779</v>
      </c>
      <c r="K463" s="1">
        <f t="shared" si="85"/>
        <v>193749.3698961589</v>
      </c>
      <c r="L463" s="1">
        <f t="shared" si="86"/>
        <v>58124.810968847669</v>
      </c>
      <c r="M463">
        <f t="shared" si="79"/>
        <v>2880000000</v>
      </c>
      <c r="N463" s="7"/>
    </row>
    <row r="464" spans="1:14" x14ac:dyDescent="0.25">
      <c r="A464">
        <f t="shared" si="87"/>
        <v>463</v>
      </c>
      <c r="B464" s="1">
        <v>769670100000000</v>
      </c>
      <c r="C464" s="1">
        <v>5765400000000</v>
      </c>
      <c r="D464">
        <f t="shared" si="78"/>
        <v>100.18</v>
      </c>
      <c r="E464" s="1">
        <f t="shared" si="77"/>
        <v>1001800.0000000001</v>
      </c>
      <c r="F464" s="1">
        <f t="shared" si="80"/>
        <v>5776701.9365142733</v>
      </c>
      <c r="G464" s="1">
        <f t="shared" si="81"/>
        <v>2888350.9682571366</v>
      </c>
      <c r="H464" s="1">
        <f t="shared" si="82"/>
        <v>1155340.3873028546</v>
      </c>
      <c r="I464" s="1">
        <f t="shared" si="83"/>
        <v>577670.19365142728</v>
      </c>
      <c r="J464" s="1">
        <f t="shared" si="84"/>
        <v>385113.46243428491</v>
      </c>
      <c r="K464" s="1">
        <f t="shared" si="85"/>
        <v>192556.73121714246</v>
      </c>
      <c r="L464" s="1">
        <f t="shared" si="86"/>
        <v>57767.019365142733</v>
      </c>
      <c r="M464">
        <f t="shared" si="79"/>
        <v>2890000000</v>
      </c>
      <c r="N464" s="7"/>
    </row>
    <row r="465" spans="1:14" x14ac:dyDescent="0.25">
      <c r="A465">
        <f t="shared" si="87"/>
        <v>464</v>
      </c>
      <c r="B465" s="1">
        <v>775457200000000</v>
      </c>
      <c r="C465" s="1">
        <v>5787100000000</v>
      </c>
      <c r="D465">
        <f t="shared" si="78"/>
        <v>101.19</v>
      </c>
      <c r="E465" s="1">
        <f t="shared" si="77"/>
        <v>1011900</v>
      </c>
      <c r="F465" s="1">
        <f t="shared" si="80"/>
        <v>5740488.190532661</v>
      </c>
      <c r="G465" s="1">
        <f t="shared" si="81"/>
        <v>2870244.0952663305</v>
      </c>
      <c r="H465" s="1">
        <f t="shared" si="82"/>
        <v>1148097.6381065322</v>
      </c>
      <c r="I465" s="1">
        <f t="shared" si="83"/>
        <v>574048.81905326608</v>
      </c>
      <c r="J465" s="1">
        <f t="shared" si="84"/>
        <v>382699.21270217741</v>
      </c>
      <c r="K465" s="1">
        <f t="shared" si="85"/>
        <v>191349.6063510887</v>
      </c>
      <c r="L465" s="1">
        <f t="shared" si="86"/>
        <v>57404.881905326612</v>
      </c>
      <c r="M465">
        <f t="shared" si="79"/>
        <v>2900000000</v>
      </c>
      <c r="N465" s="7"/>
    </row>
    <row r="466" spans="1:14" x14ac:dyDescent="0.25">
      <c r="A466">
        <f t="shared" si="87"/>
        <v>465</v>
      </c>
      <c r="B466" s="1">
        <v>781266000000000</v>
      </c>
      <c r="C466" s="1">
        <v>5808800000000</v>
      </c>
      <c r="D466">
        <f t="shared" si="78"/>
        <v>102.2</v>
      </c>
      <c r="E466" s="1">
        <f t="shared" si="77"/>
        <v>1022000</v>
      </c>
      <c r="F466" s="1">
        <f t="shared" si="80"/>
        <v>5704990.2152641881</v>
      </c>
      <c r="G466" s="1">
        <f t="shared" si="81"/>
        <v>2852495.1076320941</v>
      </c>
      <c r="H466" s="1">
        <f t="shared" si="82"/>
        <v>1140998.0430528375</v>
      </c>
      <c r="I466" s="1">
        <f t="shared" si="83"/>
        <v>570499.02152641874</v>
      </c>
      <c r="J466" s="1">
        <f t="shared" si="84"/>
        <v>380332.68101761251</v>
      </c>
      <c r="K466" s="1">
        <f t="shared" si="85"/>
        <v>190166.34050880626</v>
      </c>
      <c r="L466" s="1">
        <f t="shared" si="86"/>
        <v>57049.90215264188</v>
      </c>
      <c r="M466">
        <f t="shared" si="79"/>
        <v>2920000000</v>
      </c>
      <c r="N466" s="7"/>
    </row>
    <row r="467" spans="1:14" x14ac:dyDescent="0.25">
      <c r="A467">
        <f t="shared" si="87"/>
        <v>466</v>
      </c>
      <c r="B467" s="1">
        <v>787096500000000</v>
      </c>
      <c r="C467" s="1">
        <v>5830500000000</v>
      </c>
      <c r="D467">
        <f t="shared" si="78"/>
        <v>103.22</v>
      </c>
      <c r="E467" s="1">
        <f t="shared" si="77"/>
        <v>1032200</v>
      </c>
      <c r="F467" s="1">
        <f t="shared" si="80"/>
        <v>5669637.6671187757</v>
      </c>
      <c r="G467" s="1">
        <f t="shared" si="81"/>
        <v>2834818.8335593878</v>
      </c>
      <c r="H467" s="1">
        <f t="shared" si="82"/>
        <v>1133927.5334237551</v>
      </c>
      <c r="I467" s="1">
        <f t="shared" si="83"/>
        <v>566963.76671187754</v>
      </c>
      <c r="J467" s="1">
        <f t="shared" si="84"/>
        <v>377975.84447458503</v>
      </c>
      <c r="K467" s="1">
        <f t="shared" si="85"/>
        <v>188987.92223729251</v>
      </c>
      <c r="L467" s="1">
        <f t="shared" si="86"/>
        <v>56696.376671187754</v>
      </c>
      <c r="M467">
        <f t="shared" si="79"/>
        <v>2930000000</v>
      </c>
      <c r="N467" s="7"/>
    </row>
    <row r="468" spans="1:14" x14ac:dyDescent="0.25">
      <c r="A468">
        <f t="shared" si="87"/>
        <v>467</v>
      </c>
      <c r="B468" s="1">
        <v>792948700000000</v>
      </c>
      <c r="C468" s="1">
        <v>5852200000000</v>
      </c>
      <c r="D468">
        <f t="shared" si="78"/>
        <v>104.25</v>
      </c>
      <c r="E468" s="1">
        <f t="shared" si="77"/>
        <v>1042500</v>
      </c>
      <c r="F468" s="1">
        <f t="shared" si="80"/>
        <v>5634436.4508393286</v>
      </c>
      <c r="G468" s="1">
        <f t="shared" si="81"/>
        <v>2817218.2254196643</v>
      </c>
      <c r="H468" s="1">
        <f t="shared" si="82"/>
        <v>1126887.2901678658</v>
      </c>
      <c r="I468" s="1">
        <f t="shared" si="83"/>
        <v>563443.6450839329</v>
      </c>
      <c r="J468" s="1">
        <f t="shared" si="84"/>
        <v>375629.09672262188</v>
      </c>
      <c r="K468" s="1">
        <f t="shared" si="85"/>
        <v>187814.54836131094</v>
      </c>
      <c r="L468" s="1">
        <f t="shared" si="86"/>
        <v>56344.364508393286</v>
      </c>
      <c r="M468">
        <f t="shared" si="79"/>
        <v>2940000000</v>
      </c>
      <c r="N468" s="7"/>
    </row>
    <row r="469" spans="1:14" x14ac:dyDescent="0.25">
      <c r="A469">
        <f t="shared" si="87"/>
        <v>468</v>
      </c>
      <c r="B469" s="1">
        <v>798822600000000</v>
      </c>
      <c r="C469" s="1">
        <v>5873900000000</v>
      </c>
      <c r="D469">
        <f t="shared" si="78"/>
        <v>105.29</v>
      </c>
      <c r="E469" s="1">
        <f t="shared" si="77"/>
        <v>1052900</v>
      </c>
      <c r="F469" s="1">
        <f t="shared" si="80"/>
        <v>5599392.1550004752</v>
      </c>
      <c r="G469" s="1">
        <f t="shared" si="81"/>
        <v>2799696.0775002376</v>
      </c>
      <c r="H469" s="1">
        <f t="shared" si="82"/>
        <v>1119878.4310000949</v>
      </c>
      <c r="I469" s="1">
        <f t="shared" si="83"/>
        <v>559939.21550004743</v>
      </c>
      <c r="J469" s="1">
        <f t="shared" si="84"/>
        <v>373292.81033336499</v>
      </c>
      <c r="K469" s="1">
        <f t="shared" si="85"/>
        <v>186646.4051666825</v>
      </c>
      <c r="L469" s="1">
        <f t="shared" si="86"/>
        <v>55993.92155000475</v>
      </c>
      <c r="M469">
        <f t="shared" si="79"/>
        <v>2950000000</v>
      </c>
      <c r="N469" s="7"/>
    </row>
    <row r="470" spans="1:14" x14ac:dyDescent="0.25">
      <c r="A470">
        <f t="shared" si="87"/>
        <v>469</v>
      </c>
      <c r="B470" s="1">
        <v>804718200000000</v>
      </c>
      <c r="C470" s="1">
        <v>5895600000000</v>
      </c>
      <c r="D470">
        <f t="shared" si="78"/>
        <v>106.35</v>
      </c>
      <c r="E470" s="1">
        <f t="shared" si="77"/>
        <v>1063500</v>
      </c>
      <c r="F470" s="1">
        <f t="shared" si="80"/>
        <v>5563986.8359191353</v>
      </c>
      <c r="G470" s="1">
        <f t="shared" si="81"/>
        <v>2781993.4179595676</v>
      </c>
      <c r="H470" s="1">
        <f t="shared" si="82"/>
        <v>1112797.3671838271</v>
      </c>
      <c r="I470" s="1">
        <f t="shared" si="83"/>
        <v>556398.68359191355</v>
      </c>
      <c r="J470" s="1">
        <f t="shared" si="84"/>
        <v>370932.45572794235</v>
      </c>
      <c r="K470" s="1">
        <f t="shared" si="85"/>
        <v>185466.22786397117</v>
      </c>
      <c r="L470" s="1">
        <f t="shared" si="86"/>
        <v>55639.86835919135</v>
      </c>
      <c r="M470">
        <f t="shared" si="79"/>
        <v>2960000000</v>
      </c>
      <c r="N470" s="7"/>
    </row>
    <row r="471" spans="1:14" x14ac:dyDescent="0.25">
      <c r="A471">
        <f t="shared" si="87"/>
        <v>470</v>
      </c>
      <c r="B471" s="1">
        <v>810635500000000</v>
      </c>
      <c r="C471" s="1">
        <v>5917300000000</v>
      </c>
      <c r="D471">
        <f t="shared" si="78"/>
        <v>107.41</v>
      </c>
      <c r="E471" s="1">
        <f t="shared" si="77"/>
        <v>1074100</v>
      </c>
      <c r="F471" s="1">
        <f t="shared" si="80"/>
        <v>5529280.3277162276</v>
      </c>
      <c r="G471" s="1">
        <f t="shared" si="81"/>
        <v>2764640.1638581138</v>
      </c>
      <c r="H471" s="1">
        <f t="shared" si="82"/>
        <v>1105856.0655432455</v>
      </c>
      <c r="I471" s="1">
        <f t="shared" si="83"/>
        <v>552928.03277162276</v>
      </c>
      <c r="J471" s="1">
        <f t="shared" si="84"/>
        <v>368618.68851441517</v>
      </c>
      <c r="K471" s="1">
        <f t="shared" si="85"/>
        <v>184309.34425720759</v>
      </c>
      <c r="L471" s="1">
        <f t="shared" si="86"/>
        <v>55292.803277162275</v>
      </c>
      <c r="M471">
        <f t="shared" si="79"/>
        <v>2970000000</v>
      </c>
      <c r="N471" s="7"/>
    </row>
    <row r="472" spans="1:14" x14ac:dyDescent="0.25">
      <c r="A472">
        <f t="shared" si="87"/>
        <v>471</v>
      </c>
      <c r="B472" s="1">
        <v>816574500000000</v>
      </c>
      <c r="C472" s="1">
        <v>5939000000000</v>
      </c>
      <c r="D472">
        <f t="shared" si="78"/>
        <v>108.48</v>
      </c>
      <c r="E472" s="1">
        <f t="shared" si="77"/>
        <v>1084800</v>
      </c>
      <c r="F472" s="1">
        <f t="shared" si="80"/>
        <v>5494745.5752212387</v>
      </c>
      <c r="G472" s="1">
        <f t="shared" si="81"/>
        <v>2747372.7876106193</v>
      </c>
      <c r="H472" s="1">
        <f t="shared" si="82"/>
        <v>1098949.1150442478</v>
      </c>
      <c r="I472" s="1">
        <f t="shared" si="83"/>
        <v>549474.55752212391</v>
      </c>
      <c r="J472" s="1">
        <f t="shared" si="84"/>
        <v>366316.37168141594</v>
      </c>
      <c r="K472" s="1">
        <f t="shared" si="85"/>
        <v>183158.18584070797</v>
      </c>
      <c r="L472" s="1">
        <f t="shared" si="86"/>
        <v>54947.455752212387</v>
      </c>
      <c r="M472">
        <f t="shared" si="79"/>
        <v>2980000000</v>
      </c>
      <c r="N472" s="7"/>
    </row>
    <row r="473" spans="1:14" x14ac:dyDescent="0.25">
      <c r="A473">
        <f t="shared" si="87"/>
        <v>472</v>
      </c>
      <c r="B473" s="1">
        <v>822535200000000</v>
      </c>
      <c r="C473" s="1">
        <v>5960700000000</v>
      </c>
      <c r="D473">
        <f t="shared" si="78"/>
        <v>109.57</v>
      </c>
      <c r="E473" s="1">
        <f t="shared" si="77"/>
        <v>1095700</v>
      </c>
      <c r="F473" s="1">
        <f t="shared" si="80"/>
        <v>5459888.65565392</v>
      </c>
      <c r="G473" s="1">
        <f t="shared" si="81"/>
        <v>2729944.32782696</v>
      </c>
      <c r="H473" s="1">
        <f t="shared" si="82"/>
        <v>1091977.7311307839</v>
      </c>
      <c r="I473" s="1">
        <f t="shared" si="83"/>
        <v>545988.86556539196</v>
      </c>
      <c r="J473" s="1">
        <f t="shared" si="84"/>
        <v>363992.57704359468</v>
      </c>
      <c r="K473" s="1">
        <f t="shared" si="85"/>
        <v>181996.28852179734</v>
      </c>
      <c r="L473" s="1">
        <f t="shared" si="86"/>
        <v>54598.886556539197</v>
      </c>
      <c r="M473">
        <f t="shared" si="79"/>
        <v>2990000000</v>
      </c>
      <c r="N473" s="7"/>
    </row>
    <row r="474" spans="1:14" x14ac:dyDescent="0.25">
      <c r="A474">
        <f t="shared" si="87"/>
        <v>473</v>
      </c>
      <c r="B474" s="1">
        <v>828517600000000</v>
      </c>
      <c r="C474" s="1">
        <v>5982400000000</v>
      </c>
      <c r="D474">
        <f t="shared" si="78"/>
        <v>110.66</v>
      </c>
      <c r="E474" s="1">
        <f t="shared" si="77"/>
        <v>1106600</v>
      </c>
      <c r="F474" s="1">
        <f t="shared" si="80"/>
        <v>5425718.4167720946</v>
      </c>
      <c r="G474" s="1">
        <f t="shared" si="81"/>
        <v>2712859.2083860473</v>
      </c>
      <c r="H474" s="1">
        <f t="shared" si="82"/>
        <v>1085143.683354419</v>
      </c>
      <c r="I474" s="1">
        <f t="shared" si="83"/>
        <v>542571.84167720948</v>
      </c>
      <c r="J474" s="1">
        <f t="shared" si="84"/>
        <v>361714.56111813965</v>
      </c>
      <c r="K474" s="1">
        <f t="shared" si="85"/>
        <v>180857.28055906983</v>
      </c>
      <c r="L474" s="1">
        <f t="shared" si="86"/>
        <v>54257.184167720945</v>
      </c>
      <c r="M474">
        <f t="shared" si="79"/>
        <v>3000000000</v>
      </c>
      <c r="N474" s="7"/>
    </row>
    <row r="475" spans="1:14" x14ac:dyDescent="0.25">
      <c r="A475">
        <f t="shared" si="87"/>
        <v>474</v>
      </c>
      <c r="B475" s="1">
        <v>834521700000000</v>
      </c>
      <c r="C475" s="1">
        <v>6004100000000</v>
      </c>
      <c r="D475">
        <f t="shared" si="78"/>
        <v>111.77</v>
      </c>
      <c r="E475" s="1">
        <f t="shared" si="77"/>
        <v>1117700</v>
      </c>
      <c r="F475" s="1">
        <f t="shared" si="80"/>
        <v>5391249.8881631922</v>
      </c>
      <c r="G475" s="1">
        <f t="shared" si="81"/>
        <v>2695624.9440815961</v>
      </c>
      <c r="H475" s="1">
        <f t="shared" si="82"/>
        <v>1078249.9776326385</v>
      </c>
      <c r="I475" s="1">
        <f t="shared" si="83"/>
        <v>539124.98881631927</v>
      </c>
      <c r="J475" s="1">
        <f t="shared" si="84"/>
        <v>359416.65921087947</v>
      </c>
      <c r="K475" s="1">
        <f t="shared" si="85"/>
        <v>179708.32960543974</v>
      </c>
      <c r="L475" s="1">
        <f t="shared" si="86"/>
        <v>53912.498881631924</v>
      </c>
      <c r="M475">
        <f t="shared" si="79"/>
        <v>3010000000</v>
      </c>
      <c r="N475" s="7"/>
    </row>
    <row r="476" spans="1:14" x14ac:dyDescent="0.25">
      <c r="A476">
        <f t="shared" si="87"/>
        <v>475</v>
      </c>
      <c r="B476" s="1">
        <v>840547500000000</v>
      </c>
      <c r="C476" s="1">
        <v>6025800000000</v>
      </c>
      <c r="D476">
        <f t="shared" si="78"/>
        <v>112.89</v>
      </c>
      <c r="E476" s="1">
        <f t="shared" si="77"/>
        <v>1128900</v>
      </c>
      <c r="F476" s="1">
        <f t="shared" si="80"/>
        <v>5356984.675347684</v>
      </c>
      <c r="G476" s="1">
        <f t="shared" si="81"/>
        <v>2678492.337673842</v>
      </c>
      <c r="H476" s="1">
        <f t="shared" si="82"/>
        <v>1071396.9350695368</v>
      </c>
      <c r="I476" s="1">
        <f t="shared" si="83"/>
        <v>535698.4675347684</v>
      </c>
      <c r="J476" s="1">
        <f t="shared" si="84"/>
        <v>357132.31168984558</v>
      </c>
      <c r="K476" s="1">
        <f t="shared" si="85"/>
        <v>178566.15584492279</v>
      </c>
      <c r="L476" s="1">
        <f t="shared" si="86"/>
        <v>53569.846753476835</v>
      </c>
      <c r="M476">
        <f t="shared" si="79"/>
        <v>3020000000</v>
      </c>
      <c r="N476" s="7"/>
    </row>
    <row r="477" spans="1:14" x14ac:dyDescent="0.25">
      <c r="A477">
        <f t="shared" si="87"/>
        <v>476</v>
      </c>
      <c r="B477" s="1">
        <v>846595000000000</v>
      </c>
      <c r="C477" s="1">
        <v>6047500000000</v>
      </c>
      <c r="D477">
        <f t="shared" si="78"/>
        <v>114.02</v>
      </c>
      <c r="E477" s="1">
        <f t="shared" si="77"/>
        <v>1140200</v>
      </c>
      <c r="F477" s="1">
        <f t="shared" si="80"/>
        <v>5322925.8024907913</v>
      </c>
      <c r="G477" s="1">
        <f t="shared" si="81"/>
        <v>2661462.9012453957</v>
      </c>
      <c r="H477" s="1">
        <f t="shared" si="82"/>
        <v>1064585.1604981583</v>
      </c>
      <c r="I477" s="1">
        <f t="shared" si="83"/>
        <v>532292.58024907915</v>
      </c>
      <c r="J477" s="1">
        <f t="shared" si="84"/>
        <v>354861.72016605275</v>
      </c>
      <c r="K477" s="1">
        <f t="shared" si="85"/>
        <v>177430.86008302637</v>
      </c>
      <c r="L477" s="1">
        <f t="shared" si="86"/>
        <v>53229.258024907911</v>
      </c>
      <c r="M477">
        <f t="shared" si="79"/>
        <v>3030000000</v>
      </c>
      <c r="N477" s="7"/>
    </row>
    <row r="478" spans="1:14" x14ac:dyDescent="0.25">
      <c r="A478">
        <f t="shared" si="87"/>
        <v>477</v>
      </c>
      <c r="B478" s="1">
        <v>852664200000000</v>
      </c>
      <c r="C478" s="1">
        <v>6069200000000</v>
      </c>
      <c r="D478">
        <f t="shared" si="78"/>
        <v>115.16</v>
      </c>
      <c r="E478" s="1">
        <f t="shared" si="77"/>
        <v>1151600</v>
      </c>
      <c r="F478" s="1">
        <f t="shared" si="80"/>
        <v>5289076.0680791941</v>
      </c>
      <c r="G478" s="1">
        <f t="shared" si="81"/>
        <v>2644538.034039597</v>
      </c>
      <c r="H478" s="1">
        <f t="shared" si="82"/>
        <v>1057815.2136158389</v>
      </c>
      <c r="I478" s="1">
        <f t="shared" si="83"/>
        <v>528907.60680791945</v>
      </c>
      <c r="J478" s="1">
        <f t="shared" si="84"/>
        <v>352605.07120527962</v>
      </c>
      <c r="K478" s="1">
        <f t="shared" si="85"/>
        <v>176302.53560263981</v>
      </c>
      <c r="L478" s="1">
        <f t="shared" si="86"/>
        <v>52890.760680791944</v>
      </c>
      <c r="M478">
        <f t="shared" si="79"/>
        <v>3050000000</v>
      </c>
      <c r="N478" s="7"/>
    </row>
    <row r="479" spans="1:14" x14ac:dyDescent="0.25">
      <c r="A479">
        <f t="shared" si="87"/>
        <v>478</v>
      </c>
      <c r="B479" s="1">
        <v>858755100000000</v>
      </c>
      <c r="C479" s="1">
        <v>6090900000000</v>
      </c>
      <c r="D479">
        <f t="shared" si="78"/>
        <v>116.31</v>
      </c>
      <c r="E479" s="1">
        <f t="shared" si="77"/>
        <v>1163100</v>
      </c>
      <c r="F479" s="1">
        <f t="shared" si="80"/>
        <v>5255438.0534777753</v>
      </c>
      <c r="G479" s="1">
        <f t="shared" si="81"/>
        <v>2627719.0267388877</v>
      </c>
      <c r="H479" s="1">
        <f t="shared" si="82"/>
        <v>1051087.6106955549</v>
      </c>
      <c r="I479" s="1">
        <f t="shared" si="83"/>
        <v>525543.80534777744</v>
      </c>
      <c r="J479" s="1">
        <f t="shared" si="84"/>
        <v>350362.53689851833</v>
      </c>
      <c r="K479" s="1">
        <f t="shared" si="85"/>
        <v>175181.26844925917</v>
      </c>
      <c r="L479" s="1">
        <f t="shared" si="86"/>
        <v>52554.380534777752</v>
      </c>
      <c r="M479">
        <f t="shared" si="79"/>
        <v>3060000000</v>
      </c>
      <c r="N479" s="7"/>
    </row>
    <row r="480" spans="1:14" x14ac:dyDescent="0.25">
      <c r="A480">
        <f t="shared" si="87"/>
        <v>479</v>
      </c>
      <c r="B480" s="1">
        <v>864867700000000</v>
      </c>
      <c r="C480" s="1">
        <v>6112600000000</v>
      </c>
      <c r="D480">
        <f t="shared" si="78"/>
        <v>117.47</v>
      </c>
      <c r="E480" s="1">
        <f t="shared" si="77"/>
        <v>1174700</v>
      </c>
      <c r="F480" s="1">
        <f t="shared" si="80"/>
        <v>5222014.1312675579</v>
      </c>
      <c r="G480" s="1">
        <f t="shared" si="81"/>
        <v>2611007.0656337789</v>
      </c>
      <c r="H480" s="1">
        <f t="shared" si="82"/>
        <v>1044402.8262535115</v>
      </c>
      <c r="I480" s="1">
        <f t="shared" si="83"/>
        <v>522201.41312675574</v>
      </c>
      <c r="J480" s="1">
        <f t="shared" si="84"/>
        <v>348134.2754178372</v>
      </c>
      <c r="K480" s="1">
        <f t="shared" si="85"/>
        <v>174067.1377089186</v>
      </c>
      <c r="L480" s="1">
        <f t="shared" si="86"/>
        <v>52220.14131267558</v>
      </c>
      <c r="M480">
        <f t="shared" si="79"/>
        <v>3070000000</v>
      </c>
      <c r="N480" s="7"/>
    </row>
    <row r="481" spans="1:14" x14ac:dyDescent="0.25">
      <c r="A481">
        <f t="shared" si="87"/>
        <v>480</v>
      </c>
      <c r="B481" s="1">
        <v>871002000000000</v>
      </c>
      <c r="C481" s="1">
        <v>6134300000000</v>
      </c>
      <c r="D481">
        <f t="shared" si="78"/>
        <v>118.65</v>
      </c>
      <c r="E481" s="1">
        <f t="shared" si="77"/>
        <v>1186500</v>
      </c>
      <c r="F481" s="1">
        <f t="shared" si="80"/>
        <v>5188369.1529709231</v>
      </c>
      <c r="G481" s="1">
        <f t="shared" si="81"/>
        <v>2594184.5764854616</v>
      </c>
      <c r="H481" s="1">
        <f t="shared" si="82"/>
        <v>1037673.8305941846</v>
      </c>
      <c r="I481" s="1">
        <f t="shared" si="83"/>
        <v>518836.91529709229</v>
      </c>
      <c r="J481" s="1">
        <f t="shared" si="84"/>
        <v>345891.27686472819</v>
      </c>
      <c r="K481" s="1">
        <f t="shared" si="85"/>
        <v>172945.6384323641</v>
      </c>
      <c r="L481" s="1">
        <f t="shared" si="86"/>
        <v>51883.691529709227</v>
      </c>
      <c r="M481">
        <f t="shared" si="79"/>
        <v>3080000000</v>
      </c>
      <c r="N481" s="7"/>
    </row>
    <row r="482" spans="1:14" x14ac:dyDescent="0.25">
      <c r="A482">
        <f t="shared" si="87"/>
        <v>481</v>
      </c>
      <c r="B482" s="1">
        <v>877158000000000</v>
      </c>
      <c r="C482" s="1">
        <v>6156000000000</v>
      </c>
      <c r="D482">
        <f t="shared" si="78"/>
        <v>119.83</v>
      </c>
      <c r="E482" s="1">
        <f t="shared" si="77"/>
        <v>1198300</v>
      </c>
      <c r="F482" s="1">
        <f t="shared" si="80"/>
        <v>5155386.7979637822</v>
      </c>
      <c r="G482" s="1">
        <f t="shared" si="81"/>
        <v>2577693.3989818911</v>
      </c>
      <c r="H482" s="1">
        <f t="shared" si="82"/>
        <v>1031077.3595927564</v>
      </c>
      <c r="I482" s="1">
        <f t="shared" si="83"/>
        <v>515538.67979637819</v>
      </c>
      <c r="J482" s="1">
        <f t="shared" si="84"/>
        <v>343692.45319758548</v>
      </c>
      <c r="K482" s="1">
        <f t="shared" si="85"/>
        <v>171846.22659879274</v>
      </c>
      <c r="L482" s="1">
        <f t="shared" si="86"/>
        <v>51553.86797963782</v>
      </c>
      <c r="M482">
        <f t="shared" si="79"/>
        <v>3090000000</v>
      </c>
      <c r="N482" s="7"/>
    </row>
    <row r="483" spans="1:14" x14ac:dyDescent="0.25">
      <c r="A483">
        <f t="shared" si="87"/>
        <v>482</v>
      </c>
      <c r="B483" s="1">
        <v>883335700000000</v>
      </c>
      <c r="C483" s="1">
        <v>6177700000000</v>
      </c>
      <c r="D483">
        <f t="shared" si="78"/>
        <v>121.03</v>
      </c>
      <c r="E483" s="1">
        <f t="shared" si="77"/>
        <v>1210300</v>
      </c>
      <c r="F483" s="1">
        <f t="shared" si="80"/>
        <v>5122201.1071635131</v>
      </c>
      <c r="G483" s="1">
        <f t="shared" si="81"/>
        <v>2561100.5535817565</v>
      </c>
      <c r="H483" s="1">
        <f t="shared" si="82"/>
        <v>1024440.2214327026</v>
      </c>
      <c r="I483" s="1">
        <f t="shared" si="83"/>
        <v>512220.11071635131</v>
      </c>
      <c r="J483" s="1">
        <f t="shared" si="84"/>
        <v>341480.07381090085</v>
      </c>
      <c r="K483" s="1">
        <f t="shared" si="85"/>
        <v>170740.03690545043</v>
      </c>
      <c r="L483" s="1">
        <f t="shared" si="86"/>
        <v>51222.011071635134</v>
      </c>
      <c r="M483">
        <f t="shared" si="79"/>
        <v>3100000000</v>
      </c>
      <c r="N483" s="7"/>
    </row>
    <row r="484" spans="1:14" x14ac:dyDescent="0.25">
      <c r="A484">
        <f t="shared" si="87"/>
        <v>483</v>
      </c>
      <c r="B484" s="1">
        <v>889535100000000</v>
      </c>
      <c r="C484" s="1">
        <v>6199400000000</v>
      </c>
      <c r="D484">
        <f t="shared" si="78"/>
        <v>122.24</v>
      </c>
      <c r="E484" s="1">
        <f t="shared" si="77"/>
        <v>1222400</v>
      </c>
      <c r="F484" s="1">
        <f t="shared" si="80"/>
        <v>5089250.654450262</v>
      </c>
      <c r="G484" s="1">
        <f t="shared" si="81"/>
        <v>2544625.327225131</v>
      </c>
      <c r="H484" s="1">
        <f t="shared" si="82"/>
        <v>1017850.1308900523</v>
      </c>
      <c r="I484" s="1">
        <f t="shared" si="83"/>
        <v>508925.06544502615</v>
      </c>
      <c r="J484" s="1">
        <f t="shared" si="84"/>
        <v>339283.37696335081</v>
      </c>
      <c r="K484" s="1">
        <f t="shared" si="85"/>
        <v>169641.6884816754</v>
      </c>
      <c r="L484" s="1">
        <f t="shared" si="86"/>
        <v>50892.506544502619</v>
      </c>
      <c r="M484">
        <f t="shared" si="79"/>
        <v>3110000000</v>
      </c>
      <c r="N484" s="7"/>
    </row>
    <row r="485" spans="1:14" x14ac:dyDescent="0.25">
      <c r="A485">
        <f t="shared" si="87"/>
        <v>484</v>
      </c>
      <c r="B485" s="1">
        <v>895756200000000</v>
      </c>
      <c r="C485" s="1">
        <v>6221100000000</v>
      </c>
      <c r="D485">
        <f t="shared" si="78"/>
        <v>123.47</v>
      </c>
      <c r="E485" s="1">
        <f t="shared" si="77"/>
        <v>1234700</v>
      </c>
      <c r="F485" s="1">
        <f t="shared" si="80"/>
        <v>5056126.994411598</v>
      </c>
      <c r="G485" s="1">
        <f t="shared" si="81"/>
        <v>2528063.497205799</v>
      </c>
      <c r="H485" s="1">
        <f t="shared" si="82"/>
        <v>1011225.3988823196</v>
      </c>
      <c r="I485" s="1">
        <f t="shared" si="83"/>
        <v>505612.69944115978</v>
      </c>
      <c r="J485" s="1">
        <f t="shared" si="84"/>
        <v>337075.13296077319</v>
      </c>
      <c r="K485" s="1">
        <f t="shared" si="85"/>
        <v>168537.56648038659</v>
      </c>
      <c r="L485" s="1">
        <f t="shared" si="86"/>
        <v>50561.269944115978</v>
      </c>
      <c r="M485">
        <f t="shared" si="79"/>
        <v>3120000000</v>
      </c>
      <c r="N485" s="7"/>
    </row>
    <row r="486" spans="1:14" x14ac:dyDescent="0.25">
      <c r="A486">
        <f t="shared" si="87"/>
        <v>485</v>
      </c>
      <c r="B486" s="1">
        <v>901999000000000</v>
      </c>
      <c r="C486" s="1">
        <v>6242800000000</v>
      </c>
      <c r="D486">
        <f t="shared" si="78"/>
        <v>124.7</v>
      </c>
      <c r="E486" s="1">
        <f t="shared" si="77"/>
        <v>1247000</v>
      </c>
      <c r="F486" s="1">
        <f t="shared" si="80"/>
        <v>5023656.7762630312</v>
      </c>
      <c r="G486" s="1">
        <f t="shared" si="81"/>
        <v>2511828.3881315156</v>
      </c>
      <c r="H486" s="1">
        <f t="shared" si="82"/>
        <v>1004731.3552526062</v>
      </c>
      <c r="I486" s="1">
        <f t="shared" si="83"/>
        <v>502365.67762630311</v>
      </c>
      <c r="J486" s="1">
        <f t="shared" si="84"/>
        <v>334910.45175086876</v>
      </c>
      <c r="K486" s="1">
        <f t="shared" si="85"/>
        <v>167455.22587543438</v>
      </c>
      <c r="L486" s="1">
        <f t="shared" si="86"/>
        <v>50236.567762630315</v>
      </c>
      <c r="M486">
        <f t="shared" si="79"/>
        <v>3130000000</v>
      </c>
      <c r="N486" s="7"/>
    </row>
    <row r="487" spans="1:14" x14ac:dyDescent="0.25">
      <c r="A487">
        <f t="shared" si="87"/>
        <v>486</v>
      </c>
      <c r="B487" s="1">
        <v>908263500000000</v>
      </c>
      <c r="C487" s="1">
        <v>6264500000000</v>
      </c>
      <c r="D487">
        <f t="shared" si="78"/>
        <v>125.95</v>
      </c>
      <c r="E487" s="1">
        <f t="shared" si="77"/>
        <v>1259500</v>
      </c>
      <c r="F487" s="1">
        <f t="shared" si="80"/>
        <v>4991028.1857880112</v>
      </c>
      <c r="G487" s="1">
        <f t="shared" si="81"/>
        <v>2495514.0928940056</v>
      </c>
      <c r="H487" s="1">
        <f t="shared" si="82"/>
        <v>998205.63715760224</v>
      </c>
      <c r="I487" s="1">
        <f t="shared" si="83"/>
        <v>499102.81857880112</v>
      </c>
      <c r="J487" s="1">
        <f t="shared" si="84"/>
        <v>332735.21238586743</v>
      </c>
      <c r="K487" s="1">
        <f t="shared" si="85"/>
        <v>166367.60619293372</v>
      </c>
      <c r="L487" s="1">
        <f t="shared" si="86"/>
        <v>49910.281857880109</v>
      </c>
      <c r="M487">
        <f t="shared" si="79"/>
        <v>3140000000</v>
      </c>
      <c r="N487" s="7"/>
    </row>
    <row r="488" spans="1:14" x14ac:dyDescent="0.25">
      <c r="A488">
        <f t="shared" si="87"/>
        <v>487</v>
      </c>
      <c r="B488" s="1">
        <v>914549700000000</v>
      </c>
      <c r="C488" s="1">
        <v>6286200000000</v>
      </c>
      <c r="D488">
        <f t="shared" si="78"/>
        <v>127.21</v>
      </c>
      <c r="E488" s="1">
        <f t="shared" si="77"/>
        <v>1272100</v>
      </c>
      <c r="F488" s="1">
        <f t="shared" si="80"/>
        <v>4958651.0494457986</v>
      </c>
      <c r="G488" s="1">
        <f t="shared" si="81"/>
        <v>2479325.5247228993</v>
      </c>
      <c r="H488" s="1">
        <f t="shared" si="82"/>
        <v>991730.20988915965</v>
      </c>
      <c r="I488" s="1">
        <f t="shared" si="83"/>
        <v>495865.10494457983</v>
      </c>
      <c r="J488" s="1">
        <f t="shared" si="84"/>
        <v>330576.7366297199</v>
      </c>
      <c r="K488" s="1">
        <f t="shared" si="85"/>
        <v>165288.36831485995</v>
      </c>
      <c r="L488" s="1">
        <f t="shared" si="86"/>
        <v>49586.51049445798</v>
      </c>
      <c r="M488">
        <f t="shared" si="79"/>
        <v>3150000000</v>
      </c>
      <c r="N488" s="7"/>
    </row>
    <row r="489" spans="1:14" x14ac:dyDescent="0.25">
      <c r="A489">
        <f t="shared" si="87"/>
        <v>488</v>
      </c>
      <c r="B489" s="1">
        <v>920857600000000</v>
      </c>
      <c r="C489" s="1">
        <v>6307900000000</v>
      </c>
      <c r="D489">
        <f t="shared" si="78"/>
        <v>128.47999999999999</v>
      </c>
      <c r="E489" s="1">
        <f t="shared" si="77"/>
        <v>1284800</v>
      </c>
      <c r="F489" s="1">
        <f t="shared" si="80"/>
        <v>4926525.5292652557</v>
      </c>
      <c r="G489" s="1">
        <f t="shared" si="81"/>
        <v>2463262.7646326278</v>
      </c>
      <c r="H489" s="1">
        <f t="shared" si="82"/>
        <v>985305.10585305106</v>
      </c>
      <c r="I489" s="1">
        <f t="shared" si="83"/>
        <v>492652.55292652553</v>
      </c>
      <c r="J489" s="1">
        <f t="shared" si="84"/>
        <v>328435.03528435034</v>
      </c>
      <c r="K489" s="1">
        <f t="shared" si="85"/>
        <v>164217.51764217517</v>
      </c>
      <c r="L489" s="1">
        <f t="shared" si="86"/>
        <v>49265.255292652553</v>
      </c>
      <c r="M489">
        <f t="shared" si="79"/>
        <v>3160000000</v>
      </c>
      <c r="N489" s="7"/>
    </row>
    <row r="490" spans="1:14" x14ac:dyDescent="0.25">
      <c r="A490">
        <f t="shared" si="87"/>
        <v>489</v>
      </c>
      <c r="B490" s="1">
        <v>927187200000000</v>
      </c>
      <c r="C490" s="1">
        <v>6329600000000</v>
      </c>
      <c r="D490">
        <f t="shared" si="78"/>
        <v>129.76</v>
      </c>
      <c r="E490" s="1">
        <f t="shared" si="77"/>
        <v>1297600</v>
      </c>
      <c r="F490" s="1">
        <f t="shared" si="80"/>
        <v>4894651.664611591</v>
      </c>
      <c r="G490" s="1">
        <f t="shared" si="81"/>
        <v>2447325.8323057955</v>
      </c>
      <c r="H490" s="1">
        <f t="shared" si="82"/>
        <v>978930.33292231814</v>
      </c>
      <c r="I490" s="1">
        <f t="shared" si="83"/>
        <v>489465.16646115907</v>
      </c>
      <c r="J490" s="1">
        <f t="shared" si="84"/>
        <v>326310.11097410606</v>
      </c>
      <c r="K490" s="1">
        <f t="shared" si="85"/>
        <v>163155.05548705303</v>
      </c>
      <c r="L490" s="1">
        <f t="shared" si="86"/>
        <v>48946.51664611591</v>
      </c>
      <c r="M490">
        <f t="shared" si="79"/>
        <v>3180000000</v>
      </c>
      <c r="N490" s="7"/>
    </row>
    <row r="491" spans="1:14" x14ac:dyDescent="0.25">
      <c r="A491">
        <f t="shared" si="87"/>
        <v>490</v>
      </c>
      <c r="B491" s="1">
        <v>933538500000000</v>
      </c>
      <c r="C491" s="1">
        <v>6351300000000</v>
      </c>
      <c r="D491">
        <f t="shared" si="78"/>
        <v>131.06</v>
      </c>
      <c r="E491" s="1">
        <f t="shared" si="77"/>
        <v>1310600</v>
      </c>
      <c r="F491" s="1">
        <f t="shared" si="80"/>
        <v>4862658.3244315581</v>
      </c>
      <c r="G491" s="1">
        <f t="shared" si="81"/>
        <v>2431329.1622157791</v>
      </c>
      <c r="H491" s="1">
        <f t="shared" si="82"/>
        <v>972531.66488631163</v>
      </c>
      <c r="I491" s="1">
        <f t="shared" si="83"/>
        <v>486265.83244315581</v>
      </c>
      <c r="J491" s="1">
        <f t="shared" si="84"/>
        <v>324177.22162877052</v>
      </c>
      <c r="K491" s="1">
        <f t="shared" si="85"/>
        <v>162088.61081438526</v>
      </c>
      <c r="L491" s="1">
        <f t="shared" si="86"/>
        <v>48626.583244315581</v>
      </c>
      <c r="M491">
        <f t="shared" si="79"/>
        <v>3190000000</v>
      </c>
      <c r="N491" s="7"/>
    </row>
    <row r="492" spans="1:14" x14ac:dyDescent="0.25">
      <c r="A492">
        <f t="shared" si="87"/>
        <v>491</v>
      </c>
      <c r="B492" s="1">
        <v>939911500000000</v>
      </c>
      <c r="C492" s="1">
        <v>6373000000000</v>
      </c>
      <c r="D492">
        <f t="shared" si="78"/>
        <v>132.37</v>
      </c>
      <c r="E492" s="1">
        <f t="shared" si="77"/>
        <v>1323700</v>
      </c>
      <c r="F492" s="1">
        <f t="shared" si="80"/>
        <v>4830928.4581098435</v>
      </c>
      <c r="G492" s="1">
        <f t="shared" si="81"/>
        <v>2415464.2290549218</v>
      </c>
      <c r="H492" s="1">
        <f t="shared" si="82"/>
        <v>966185.69162196876</v>
      </c>
      <c r="I492" s="1">
        <f t="shared" si="83"/>
        <v>483092.84581098438</v>
      </c>
      <c r="J492" s="1">
        <f t="shared" si="84"/>
        <v>322061.89720732288</v>
      </c>
      <c r="K492" s="1">
        <f t="shared" si="85"/>
        <v>161030.94860366144</v>
      </c>
      <c r="L492" s="1">
        <f t="shared" si="86"/>
        <v>48309.284581098436</v>
      </c>
      <c r="M492">
        <f t="shared" si="79"/>
        <v>3200000000</v>
      </c>
      <c r="N492" s="7"/>
    </row>
    <row r="493" spans="1:14" x14ac:dyDescent="0.25">
      <c r="A493">
        <f t="shared" si="87"/>
        <v>492</v>
      </c>
      <c r="B493" s="1">
        <v>946306200000000</v>
      </c>
      <c r="C493" s="1">
        <v>6394700000000</v>
      </c>
      <c r="D493">
        <f t="shared" si="78"/>
        <v>133.69999999999999</v>
      </c>
      <c r="E493" s="1">
        <f t="shared" si="77"/>
        <v>1337000</v>
      </c>
      <c r="F493" s="1">
        <f t="shared" si="80"/>
        <v>4799102.4682124155</v>
      </c>
      <c r="G493" s="1">
        <f t="shared" si="81"/>
        <v>2399551.2341062077</v>
      </c>
      <c r="H493" s="1">
        <f t="shared" si="82"/>
        <v>959820.49364248314</v>
      </c>
      <c r="I493" s="1">
        <f t="shared" si="83"/>
        <v>479910.24682124157</v>
      </c>
      <c r="J493" s="1">
        <f t="shared" si="84"/>
        <v>319940.16454749438</v>
      </c>
      <c r="K493" s="1">
        <f t="shared" si="85"/>
        <v>159970.08227374719</v>
      </c>
      <c r="L493" s="1">
        <f t="shared" si="86"/>
        <v>47991.02468212416</v>
      </c>
      <c r="M493">
        <f t="shared" si="79"/>
        <v>3210000000</v>
      </c>
      <c r="N493" s="7"/>
    </row>
    <row r="494" spans="1:14" x14ac:dyDescent="0.25">
      <c r="A494">
        <f t="shared" si="87"/>
        <v>493</v>
      </c>
      <c r="B494" s="1">
        <v>952722600000000</v>
      </c>
      <c r="C494" s="1">
        <v>6416400000000</v>
      </c>
      <c r="D494">
        <f t="shared" si="78"/>
        <v>135.03</v>
      </c>
      <c r="E494" s="1">
        <f t="shared" si="77"/>
        <v>1350300</v>
      </c>
      <c r="F494" s="1">
        <f t="shared" si="80"/>
        <v>4767903.4288676586</v>
      </c>
      <c r="G494" s="1">
        <f t="shared" si="81"/>
        <v>2383951.7144338293</v>
      </c>
      <c r="H494" s="1">
        <f t="shared" si="82"/>
        <v>953580.68577353179</v>
      </c>
      <c r="I494" s="1">
        <f t="shared" si="83"/>
        <v>476790.34288676589</v>
      </c>
      <c r="J494" s="1">
        <f t="shared" si="84"/>
        <v>317860.22859117726</v>
      </c>
      <c r="K494" s="1">
        <f t="shared" si="85"/>
        <v>158930.11429558863</v>
      </c>
      <c r="L494" s="1">
        <f t="shared" si="86"/>
        <v>47679.034288676594</v>
      </c>
      <c r="M494">
        <f t="shared" si="79"/>
        <v>3220000000</v>
      </c>
      <c r="N494" s="7"/>
    </row>
    <row r="495" spans="1:14" x14ac:dyDescent="0.25">
      <c r="A495">
        <f t="shared" si="87"/>
        <v>494</v>
      </c>
      <c r="B495" s="1">
        <v>959160700000000</v>
      </c>
      <c r="C495" s="1">
        <v>6438100000000</v>
      </c>
      <c r="D495">
        <f t="shared" si="78"/>
        <v>136.38</v>
      </c>
      <c r="E495" s="1">
        <f t="shared" si="77"/>
        <v>1363800</v>
      </c>
      <c r="F495" s="1">
        <f t="shared" si="80"/>
        <v>4736618.2724739695</v>
      </c>
      <c r="G495" s="1">
        <f t="shared" si="81"/>
        <v>2368309.1362369847</v>
      </c>
      <c r="H495" s="1">
        <f t="shared" si="82"/>
        <v>947323.65449479397</v>
      </c>
      <c r="I495" s="1">
        <f t="shared" si="83"/>
        <v>473661.82724739698</v>
      </c>
      <c r="J495" s="1">
        <f t="shared" si="84"/>
        <v>315774.55149826466</v>
      </c>
      <c r="K495" s="1">
        <f t="shared" si="85"/>
        <v>157887.27574913233</v>
      </c>
      <c r="L495" s="1">
        <f t="shared" si="86"/>
        <v>47366.182724739701</v>
      </c>
      <c r="M495">
        <f t="shared" si="79"/>
        <v>3230000000</v>
      </c>
      <c r="N495" s="7"/>
    </row>
    <row r="496" spans="1:14" x14ac:dyDescent="0.25">
      <c r="A496">
        <f t="shared" si="87"/>
        <v>495</v>
      </c>
      <c r="B496" s="1">
        <v>965620500000000</v>
      </c>
      <c r="C496" s="1">
        <v>6459800000000</v>
      </c>
      <c r="D496">
        <f t="shared" si="78"/>
        <v>137.75</v>
      </c>
      <c r="E496" s="1">
        <f t="shared" si="77"/>
        <v>1377500</v>
      </c>
      <c r="F496" s="1">
        <f t="shared" si="80"/>
        <v>4705263.1578947371</v>
      </c>
      <c r="G496" s="1">
        <f t="shared" si="81"/>
        <v>2352631.5789473685</v>
      </c>
      <c r="H496" s="1">
        <f t="shared" si="82"/>
        <v>941052.63157894742</v>
      </c>
      <c r="I496" s="1">
        <f t="shared" si="83"/>
        <v>470526.31578947371</v>
      </c>
      <c r="J496" s="1">
        <f t="shared" si="84"/>
        <v>313684.21052631579</v>
      </c>
      <c r="K496" s="1">
        <f t="shared" si="85"/>
        <v>156842.10526315789</v>
      </c>
      <c r="L496" s="1">
        <f t="shared" si="86"/>
        <v>47052.631578947367</v>
      </c>
      <c r="M496">
        <f t="shared" si="79"/>
        <v>3240000000</v>
      </c>
      <c r="N496" s="7"/>
    </row>
    <row r="497" spans="1:14" x14ac:dyDescent="0.25">
      <c r="A497">
        <f t="shared" si="87"/>
        <v>496</v>
      </c>
      <c r="B497" s="1">
        <v>972102000000000</v>
      </c>
      <c r="C497" s="1">
        <v>6481500000000</v>
      </c>
      <c r="D497">
        <f t="shared" si="78"/>
        <v>139.12</v>
      </c>
      <c r="E497" s="1">
        <f t="shared" si="77"/>
        <v>1391200</v>
      </c>
      <c r="F497" s="1">
        <f t="shared" si="80"/>
        <v>4674525.5894192066</v>
      </c>
      <c r="G497" s="1">
        <f t="shared" si="81"/>
        <v>2337262.7947096033</v>
      </c>
      <c r="H497" s="1">
        <f t="shared" si="82"/>
        <v>934905.11788384127</v>
      </c>
      <c r="I497" s="1">
        <f t="shared" si="83"/>
        <v>467452.55894192064</v>
      </c>
      <c r="J497" s="1">
        <f t="shared" si="84"/>
        <v>311635.03929461376</v>
      </c>
      <c r="K497" s="1">
        <f t="shared" si="85"/>
        <v>155817.51964730688</v>
      </c>
      <c r="L497" s="1">
        <f t="shared" si="86"/>
        <v>46745.255894192065</v>
      </c>
      <c r="M497">
        <f t="shared" si="79"/>
        <v>3250000000</v>
      </c>
      <c r="N497" s="7"/>
    </row>
    <row r="498" spans="1:14" x14ac:dyDescent="0.25">
      <c r="A498">
        <f t="shared" si="87"/>
        <v>497</v>
      </c>
      <c r="B498" s="1">
        <v>978605200000000</v>
      </c>
      <c r="C498" s="1">
        <v>6503200000000</v>
      </c>
      <c r="D498">
        <f t="shared" si="78"/>
        <v>140.52000000000001</v>
      </c>
      <c r="E498" s="1">
        <f t="shared" si="77"/>
        <v>1405200</v>
      </c>
      <c r="F498" s="1">
        <f t="shared" si="80"/>
        <v>4643395.9578707656</v>
      </c>
      <c r="G498" s="1">
        <f t="shared" si="81"/>
        <v>2321697.9789353828</v>
      </c>
      <c r="H498" s="1">
        <f t="shared" si="82"/>
        <v>928679.19157415314</v>
      </c>
      <c r="I498" s="1">
        <f t="shared" si="83"/>
        <v>464339.59578707657</v>
      </c>
      <c r="J498" s="1">
        <f t="shared" si="84"/>
        <v>309559.73052471771</v>
      </c>
      <c r="K498" s="1">
        <f t="shared" si="85"/>
        <v>154779.86526235886</v>
      </c>
      <c r="L498" s="1">
        <f t="shared" si="86"/>
        <v>46433.959578707654</v>
      </c>
      <c r="M498">
        <f t="shared" si="79"/>
        <v>3260000000</v>
      </c>
      <c r="N498" s="7"/>
    </row>
    <row r="499" spans="1:14" x14ac:dyDescent="0.25">
      <c r="A499">
        <f t="shared" si="87"/>
        <v>498</v>
      </c>
      <c r="B499" s="1">
        <v>985130100000000</v>
      </c>
      <c r="C499" s="1">
        <v>6524900000000</v>
      </c>
      <c r="D499">
        <f t="shared" si="78"/>
        <v>141.91999999999999</v>
      </c>
      <c r="E499" s="1">
        <f t="shared" si="77"/>
        <v>1419199.9999999998</v>
      </c>
      <c r="F499" s="1">
        <f t="shared" si="80"/>
        <v>4612880.4960541157</v>
      </c>
      <c r="G499" s="1">
        <f t="shared" si="81"/>
        <v>2306440.2480270579</v>
      </c>
      <c r="H499" s="1">
        <f t="shared" si="82"/>
        <v>922576.09921082307</v>
      </c>
      <c r="I499" s="1">
        <f t="shared" si="83"/>
        <v>461288.04960541154</v>
      </c>
      <c r="J499" s="1">
        <f t="shared" si="84"/>
        <v>307525.36640360771</v>
      </c>
      <c r="K499" s="1">
        <f t="shared" si="85"/>
        <v>153762.68320180385</v>
      </c>
      <c r="L499" s="1">
        <f t="shared" si="86"/>
        <v>46128.804960541158</v>
      </c>
      <c r="M499">
        <f t="shared" si="79"/>
        <v>3270000000</v>
      </c>
      <c r="N499" s="7"/>
    </row>
    <row r="500" spans="1:14" x14ac:dyDescent="0.25">
      <c r="A500">
        <f t="shared" si="87"/>
        <v>499</v>
      </c>
      <c r="B500" s="1">
        <v>991676700000000</v>
      </c>
      <c r="C500" s="1">
        <v>6546600000000</v>
      </c>
      <c r="D500">
        <f t="shared" si="78"/>
        <v>143.34</v>
      </c>
      <c r="E500" s="1">
        <f t="shared" si="77"/>
        <v>1433400</v>
      </c>
      <c r="F500" s="1">
        <f t="shared" si="80"/>
        <v>5806683.41007395</v>
      </c>
      <c r="G500" s="1">
        <f t="shared" si="81"/>
        <v>2903341.705036975</v>
      </c>
      <c r="H500" s="1">
        <f t="shared" si="82"/>
        <v>1161336.6820147899</v>
      </c>
      <c r="I500" s="1">
        <f t="shared" si="83"/>
        <v>580668.34100739495</v>
      </c>
      <c r="J500" s="1">
        <f t="shared" si="84"/>
        <v>387112.22733826336</v>
      </c>
      <c r="K500" s="1">
        <f t="shared" si="85"/>
        <v>193556.11366913168</v>
      </c>
      <c r="L500" s="1">
        <f t="shared" si="86"/>
        <v>58066.834100739499</v>
      </c>
      <c r="M500">
        <f t="shared" si="79"/>
        <v>4160000000</v>
      </c>
      <c r="N500" s="7"/>
    </row>
    <row r="501" spans="1:14" x14ac:dyDescent="0.25">
      <c r="A501">
        <f t="shared" si="87"/>
        <v>500</v>
      </c>
      <c r="B501" s="1">
        <v>1000000000000000</v>
      </c>
      <c r="C501" s="1">
        <v>8323300000000</v>
      </c>
      <c r="D501">
        <f t="shared" si="78"/>
        <v>144.77000000000001</v>
      </c>
      <c r="E501" s="1">
        <f>+D501*10000</f>
        <v>1447700</v>
      </c>
      <c r="F501" s="1">
        <f t="shared" si="80"/>
        <v>0</v>
      </c>
      <c r="G501" s="1">
        <f t="shared" si="81"/>
        <v>0</v>
      </c>
      <c r="H501" s="1">
        <f t="shared" si="82"/>
        <v>0</v>
      </c>
      <c r="I501" s="1">
        <f t="shared" si="83"/>
        <v>0</v>
      </c>
      <c r="J501" s="1">
        <f t="shared" si="84"/>
        <v>0</v>
      </c>
      <c r="K501" s="1">
        <f t="shared" si="85"/>
        <v>0</v>
      </c>
      <c r="L501" s="1">
        <f t="shared" si="86"/>
        <v>0</v>
      </c>
      <c r="N501" s="7"/>
    </row>
    <row r="502" spans="1:14" x14ac:dyDescent="0.25">
      <c r="D502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3D6E02-B901-42D9-B850-94B5E739DC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Schenetti</dc:creator>
  <cp:lastModifiedBy>Matteo Schenetti</cp:lastModifiedBy>
  <dcterms:created xsi:type="dcterms:W3CDTF">2026-08-19T16:05:38Z</dcterms:created>
  <dcterms:modified xsi:type="dcterms:W3CDTF">2026-08-21T14:36:43Z</dcterms:modified>
</cp:coreProperties>
</file>