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Utente\Desktop\slotmachine\"/>
    </mc:Choice>
  </mc:AlternateContent>
  <xr:revisionPtr revIDLastSave="0" documentId="13_ncr:1_{541F94B0-AE1A-4E66-B731-F6EAE0998467}" xr6:coauthVersionLast="47" xr6:coauthVersionMax="47" xr10:uidLastSave="{00000000-0000-0000-0000-000000000000}"/>
  <bookViews>
    <workbookView xWindow="2445" yWindow="2520" windowWidth="28800" windowHeight="15345" activeTab="5" xr2:uid="{00000000-000D-0000-FFFF-FFFF00000000}"/>
  </bookViews>
  <sheets>
    <sheet name="Slot" sheetId="1" r:id="rId1"/>
    <sheet name="Random" sheetId="2" r:id="rId2"/>
    <sheet name="Prob" sheetId="3" r:id="rId3"/>
    <sheet name="Combinazioni Uscite" sheetId="4" r:id="rId4"/>
    <sheet name="premi" sheetId="5" r:id="rId5"/>
    <sheet name="Linee vincenti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" i="1" l="1"/>
  <c r="L1" i="1"/>
  <c r="K1" i="1"/>
  <c r="J1" i="1"/>
  <c r="I1" i="1"/>
  <c r="A1" i="1"/>
  <c r="B1" i="1"/>
  <c r="C1" i="1"/>
  <c r="D1" i="1"/>
  <c r="E1" i="1"/>
  <c r="A3" i="1"/>
  <c r="B3" i="1"/>
  <c r="C3" i="1"/>
  <c r="D3" i="1"/>
  <c r="E3" i="1"/>
  <c r="J2" i="3"/>
  <c r="J3" i="3"/>
  <c r="J4" i="3"/>
  <c r="J5" i="3"/>
  <c r="J6" i="3"/>
  <c r="J7" i="3"/>
  <c r="J8" i="3"/>
  <c r="J9" i="3"/>
  <c r="J10" i="3"/>
  <c r="J1" i="3"/>
  <c r="A2" i="1"/>
  <c r="B2" i="1"/>
  <c r="C2" i="1"/>
  <c r="D2" i="1"/>
  <c r="E2" i="1"/>
  <c r="A4" i="1"/>
  <c r="B4" i="1"/>
  <c r="C4" i="1"/>
  <c r="D4" i="1"/>
  <c r="E4" i="1"/>
  <c r="A5" i="1"/>
  <c r="B5" i="1"/>
  <c r="C5" i="1"/>
  <c r="D5" i="1"/>
  <c r="E5" i="1"/>
  <c r="B16" i="4" l="1"/>
  <c r="B10" i="4"/>
  <c r="B14" i="4"/>
  <c r="B8" i="4"/>
  <c r="B12" i="4"/>
  <c r="B6" i="4"/>
  <c r="B24" i="4"/>
  <c r="B20" i="4"/>
  <c r="B5" i="4"/>
  <c r="B18" i="4"/>
  <c r="B26" i="4"/>
  <c r="B22" i="4"/>
  <c r="B25" i="4"/>
  <c r="B21" i="4"/>
  <c r="B4" i="4"/>
  <c r="B3" i="4"/>
  <c r="B19" i="4"/>
  <c r="B23" i="4"/>
  <c r="B17" i="4"/>
  <c r="B9" i="4"/>
  <c r="B2" i="4"/>
  <c r="B11" i="4"/>
  <c r="B7" i="4"/>
  <c r="B13" i="4"/>
  <c r="B15" i="4"/>
  <c r="J11" i="3"/>
  <c r="K4" i="3" s="1"/>
  <c r="C12" i="4" l="1"/>
  <c r="E12" i="4" s="1"/>
  <c r="F12" i="4" s="1"/>
  <c r="C16" i="4"/>
  <c r="E16" i="4" s="1"/>
  <c r="F16" i="4" s="1"/>
  <c r="C8" i="4"/>
  <c r="E8" i="4" s="1"/>
  <c r="F8" i="4" s="1"/>
  <c r="C14" i="4"/>
  <c r="E14" i="4" s="1"/>
  <c r="F14" i="4" s="1"/>
  <c r="C10" i="4"/>
  <c r="E10" i="4" s="1"/>
  <c r="F10" i="4" s="1"/>
  <c r="C6" i="4"/>
  <c r="E6" i="4" s="1"/>
  <c r="F6" i="4" s="1"/>
  <c r="C5" i="4"/>
  <c r="E5" i="4" s="1"/>
  <c r="F5" i="4" s="1"/>
  <c r="C24" i="4"/>
  <c r="E24" i="4" s="1"/>
  <c r="F24" i="4" s="1"/>
  <c r="C20" i="4"/>
  <c r="E20" i="4" s="1"/>
  <c r="F20" i="4" s="1"/>
  <c r="C18" i="4"/>
  <c r="E18" i="4" s="1"/>
  <c r="F18" i="4" s="1"/>
  <c r="C21" i="4"/>
  <c r="E21" i="4" s="1"/>
  <c r="F21" i="4" s="1"/>
  <c r="C26" i="4"/>
  <c r="E26" i="4" s="1"/>
  <c r="F26" i="4" s="1"/>
  <c r="C22" i="4"/>
  <c r="E22" i="4" s="1"/>
  <c r="F22" i="4" s="1"/>
  <c r="C25" i="4"/>
  <c r="E25" i="4" s="1"/>
  <c r="F25" i="4" s="1"/>
  <c r="C4" i="4"/>
  <c r="E4" i="4" s="1"/>
  <c r="F4" i="4" s="1"/>
  <c r="C17" i="4"/>
  <c r="E17" i="4" s="1"/>
  <c r="F17" i="4" s="1"/>
  <c r="C3" i="4"/>
  <c r="E3" i="4" s="1"/>
  <c r="F3" i="4" s="1"/>
  <c r="C23" i="4"/>
  <c r="E23" i="4" s="1"/>
  <c r="F23" i="4" s="1"/>
  <c r="C19" i="4"/>
  <c r="E19" i="4" s="1"/>
  <c r="F19" i="4" s="1"/>
  <c r="C2" i="4"/>
  <c r="E2" i="4" s="1"/>
  <c r="F2" i="4" s="1"/>
  <c r="C9" i="4"/>
  <c r="E9" i="4" s="1"/>
  <c r="F9" i="4" s="1"/>
  <c r="C11" i="4"/>
  <c r="E11" i="4" s="1"/>
  <c r="F11" i="4" s="1"/>
  <c r="C7" i="4"/>
  <c r="E7" i="4" s="1"/>
  <c r="F7" i="4" s="1"/>
  <c r="C13" i="4"/>
  <c r="E13" i="4" s="1"/>
  <c r="F13" i="4" s="1"/>
  <c r="C15" i="4"/>
  <c r="E15" i="4" s="1"/>
  <c r="F15" i="4" s="1"/>
  <c r="B37" i="4"/>
  <c r="B33" i="4"/>
  <c r="B66" i="4"/>
  <c r="B64" i="4"/>
  <c r="B35" i="4"/>
  <c r="B30" i="4"/>
  <c r="B49" i="4"/>
  <c r="B45" i="4"/>
  <c r="B43" i="4"/>
  <c r="B51" i="4"/>
  <c r="B29" i="4"/>
  <c r="B47" i="4"/>
  <c r="B71" i="4"/>
  <c r="B75" i="4"/>
  <c r="B67" i="4"/>
  <c r="B28" i="4"/>
  <c r="B48" i="4"/>
  <c r="B69" i="4"/>
  <c r="B59" i="4"/>
  <c r="B63" i="4"/>
  <c r="B36" i="4"/>
  <c r="B32" i="4"/>
  <c r="B40" i="4"/>
  <c r="B74" i="4"/>
  <c r="B42" i="4"/>
  <c r="B65" i="4"/>
  <c r="B50" i="4"/>
  <c r="B62" i="4"/>
  <c r="B41" i="4"/>
  <c r="B68" i="4"/>
  <c r="B70" i="4"/>
  <c r="B72" i="4"/>
  <c r="B46" i="4"/>
  <c r="B76" i="4"/>
  <c r="B73" i="4"/>
  <c r="B44" i="4"/>
  <c r="B38" i="4"/>
  <c r="B39" i="4"/>
  <c r="B52" i="4"/>
  <c r="K1" i="3"/>
  <c r="K5" i="3"/>
  <c r="K6" i="3"/>
  <c r="M6" i="3" s="1"/>
  <c r="O16" i="3" s="1"/>
  <c r="K7" i="3"/>
  <c r="K8" i="3"/>
  <c r="M4" i="3"/>
  <c r="O14" i="3" s="1"/>
  <c r="N4" i="3"/>
  <c r="O24" i="3" s="1"/>
  <c r="L4" i="3"/>
  <c r="O4" i="3" s="1"/>
  <c r="N1" i="3"/>
  <c r="O21" i="3" s="1"/>
  <c r="M1" i="3"/>
  <c r="O11" i="3" s="1"/>
  <c r="L1" i="3"/>
  <c r="O1" i="3" s="1"/>
  <c r="M7" i="3"/>
  <c r="O17" i="3" s="1"/>
  <c r="N7" i="3"/>
  <c r="O27" i="3" s="1"/>
  <c r="L7" i="3"/>
  <c r="O7" i="3" s="1"/>
  <c r="M5" i="3"/>
  <c r="O15" i="3" s="1"/>
  <c r="N5" i="3"/>
  <c r="O25" i="3" s="1"/>
  <c r="L5" i="3"/>
  <c r="O5" i="3" s="1"/>
  <c r="L6" i="3"/>
  <c r="O6" i="3" s="1"/>
  <c r="N6" i="3"/>
  <c r="O26" i="3" s="1"/>
  <c r="L8" i="3"/>
  <c r="O8" i="3" s="1"/>
  <c r="M8" i="3"/>
  <c r="O18" i="3" s="1"/>
  <c r="N8" i="3"/>
  <c r="O28" i="3" s="1"/>
  <c r="K9" i="3"/>
  <c r="K2" i="3"/>
  <c r="K3" i="3"/>
  <c r="K10" i="3"/>
  <c r="B27" i="4"/>
  <c r="B53" i="4"/>
  <c r="B61" i="4"/>
  <c r="B55" i="4"/>
  <c r="B54" i="4"/>
  <c r="B60" i="4"/>
  <c r="B58" i="4"/>
  <c r="B31" i="4"/>
  <c r="B56" i="4"/>
  <c r="B57" i="4"/>
  <c r="B34" i="4"/>
  <c r="C33" i="4" l="1"/>
  <c r="C58" i="4" s="1"/>
  <c r="E58" i="4" s="1"/>
  <c r="F58" i="4" s="1"/>
  <c r="C37" i="4"/>
  <c r="C62" i="4" s="1"/>
  <c r="E62" i="4" s="1"/>
  <c r="F62" i="4" s="1"/>
  <c r="C31" i="4"/>
  <c r="C56" i="4" s="1"/>
  <c r="E56" i="4" s="1"/>
  <c r="F56" i="4" s="1"/>
  <c r="C39" i="4"/>
  <c r="C64" i="4" s="1"/>
  <c r="E64" i="4" s="1"/>
  <c r="F64" i="4" s="1"/>
  <c r="C43" i="4"/>
  <c r="E43" i="4" s="1"/>
  <c r="F43" i="4" s="1"/>
  <c r="C45" i="4"/>
  <c r="C70" i="4" s="1"/>
  <c r="E70" i="4" s="1"/>
  <c r="F70" i="4" s="1"/>
  <c r="C47" i="4"/>
  <c r="E47" i="4" s="1"/>
  <c r="F47" i="4" s="1"/>
  <c r="C44" i="4"/>
  <c r="E44" i="4" s="1"/>
  <c r="F44" i="4" s="1"/>
  <c r="C42" i="4"/>
  <c r="E42" i="4" s="1"/>
  <c r="F42" i="4" s="1"/>
  <c r="C40" i="4"/>
  <c r="C65" i="4" s="1"/>
  <c r="E65" i="4" s="1"/>
  <c r="F65" i="4" s="1"/>
  <c r="C32" i="4"/>
  <c r="E32" i="4" s="1"/>
  <c r="F32" i="4" s="1"/>
  <c r="C36" i="4"/>
  <c r="C61" i="4" s="1"/>
  <c r="E61" i="4" s="1"/>
  <c r="F61" i="4" s="1"/>
  <c r="C35" i="4"/>
  <c r="C60" i="4" s="1"/>
  <c r="E60" i="4" s="1"/>
  <c r="F60" i="4" s="1"/>
  <c r="C41" i="4"/>
  <c r="C66" i="4" s="1"/>
  <c r="E66" i="4" s="1"/>
  <c r="F66" i="4" s="1"/>
  <c r="C49" i="4"/>
  <c r="C74" i="4" s="1"/>
  <c r="E74" i="4" s="1"/>
  <c r="F74" i="4" s="1"/>
  <c r="C30" i="4"/>
  <c r="C55" i="4" s="1"/>
  <c r="E55" i="4" s="1"/>
  <c r="F55" i="4" s="1"/>
  <c r="C46" i="4"/>
  <c r="C71" i="4" s="1"/>
  <c r="E71" i="4" s="1"/>
  <c r="F71" i="4" s="1"/>
  <c r="C50" i="4"/>
  <c r="C75" i="4" s="1"/>
  <c r="E75" i="4" s="1"/>
  <c r="F75" i="4" s="1"/>
  <c r="C51" i="4"/>
  <c r="C76" i="4" s="1"/>
  <c r="E76" i="4" s="1"/>
  <c r="F76" i="4" s="1"/>
  <c r="C29" i="4"/>
  <c r="C54" i="4" s="1"/>
  <c r="E54" i="4" s="1"/>
  <c r="F54" i="4" s="1"/>
  <c r="C28" i="4"/>
  <c r="C53" i="4" s="1"/>
  <c r="E53" i="4" s="1"/>
  <c r="F53" i="4" s="1"/>
  <c r="C48" i="4"/>
  <c r="C73" i="4" s="1"/>
  <c r="E73" i="4" s="1"/>
  <c r="F73" i="4" s="1"/>
  <c r="C38" i="4"/>
  <c r="C63" i="4" s="1"/>
  <c r="E63" i="4" s="1"/>
  <c r="F63" i="4" s="1"/>
  <c r="C27" i="4"/>
  <c r="C52" i="4" s="1"/>
  <c r="E52" i="4" s="1"/>
  <c r="F52" i="4" s="1"/>
  <c r="C34" i="4"/>
  <c r="C59" i="4" s="1"/>
  <c r="E59" i="4" s="1"/>
  <c r="F59" i="4" s="1"/>
  <c r="D24" i="5"/>
  <c r="E24" i="5" s="1"/>
  <c r="D22" i="5"/>
  <c r="E22" i="5" s="1"/>
  <c r="D21" i="5"/>
  <c r="E21" i="5" s="1"/>
  <c r="D23" i="5"/>
  <c r="E23" i="5" s="1"/>
  <c r="D25" i="5"/>
  <c r="E25" i="5" s="1"/>
  <c r="D26" i="5"/>
  <c r="E26" i="5" s="1"/>
  <c r="D29" i="5"/>
  <c r="E29" i="5" s="1"/>
  <c r="D28" i="5"/>
  <c r="E28" i="5" s="1"/>
  <c r="D27" i="5"/>
  <c r="E27" i="5" s="1"/>
  <c r="D30" i="5"/>
  <c r="E30" i="5" s="1"/>
  <c r="M3" i="3"/>
  <c r="O13" i="3" s="1"/>
  <c r="N3" i="3"/>
  <c r="O23" i="3" s="1"/>
  <c r="L3" i="3"/>
  <c r="O3" i="3" s="1"/>
  <c r="L2" i="3"/>
  <c r="O2" i="3" s="1"/>
  <c r="M2" i="3"/>
  <c r="O12" i="3" s="1"/>
  <c r="N2" i="3"/>
  <c r="O22" i="3" s="1"/>
  <c r="L10" i="3"/>
  <c r="O10" i="3" s="1"/>
  <c r="M10" i="3"/>
  <c r="O20" i="3" s="1"/>
  <c r="N10" i="3"/>
  <c r="O30" i="3" s="1"/>
  <c r="L9" i="3"/>
  <c r="O9" i="3" s="1"/>
  <c r="M9" i="3"/>
  <c r="O19" i="3" s="1"/>
  <c r="N9" i="3"/>
  <c r="O29" i="3" s="1"/>
  <c r="C67" i="4" l="1"/>
  <c r="E67" i="4" s="1"/>
  <c r="F67" i="4" s="1"/>
  <c r="E33" i="4"/>
  <c r="F33" i="4" s="1"/>
  <c r="C69" i="4"/>
  <c r="E69" i="4" s="1"/>
  <c r="F69" i="4" s="1"/>
  <c r="E37" i="4"/>
  <c r="F37" i="4" s="1"/>
  <c r="E31" i="4"/>
  <c r="F31" i="4" s="1"/>
  <c r="E39" i="4"/>
  <c r="F39" i="4" s="1"/>
  <c r="E45" i="4"/>
  <c r="F45" i="4" s="1"/>
  <c r="C68" i="4"/>
  <c r="E68" i="4" s="1"/>
  <c r="F68" i="4" s="1"/>
  <c r="C72" i="4"/>
  <c r="E72" i="4" s="1"/>
  <c r="F72" i="4" s="1"/>
  <c r="C57" i="4"/>
  <c r="E57" i="4" s="1"/>
  <c r="F57" i="4" s="1"/>
  <c r="E40" i="4"/>
  <c r="F40" i="4" s="1"/>
  <c r="E36" i="4"/>
  <c r="F36" i="4" s="1"/>
  <c r="E35" i="4"/>
  <c r="F35" i="4" s="1"/>
  <c r="E41" i="4"/>
  <c r="F41" i="4" s="1"/>
  <c r="E30" i="4"/>
  <c r="F30" i="4" s="1"/>
  <c r="E49" i="4"/>
  <c r="F49" i="4" s="1"/>
  <c r="E50" i="4"/>
  <c r="F50" i="4" s="1"/>
  <c r="E51" i="4"/>
  <c r="F51" i="4" s="1"/>
  <c r="E46" i="4"/>
  <c r="F46" i="4" s="1"/>
  <c r="E29" i="4"/>
  <c r="F29" i="4" s="1"/>
  <c r="E28" i="4"/>
  <c r="F28" i="4" s="1"/>
  <c r="E48" i="4"/>
  <c r="F48" i="4" s="1"/>
  <c r="E34" i="4"/>
  <c r="F34" i="4" s="1"/>
  <c r="E27" i="4"/>
  <c r="F27" i="4" s="1"/>
  <c r="E38" i="4"/>
  <c r="F38" i="4" s="1"/>
  <c r="D16" i="5"/>
  <c r="D6" i="5" s="1"/>
  <c r="D18" i="5"/>
  <c r="D8" i="5" s="1"/>
  <c r="D13" i="5"/>
  <c r="D3" i="5" s="1"/>
  <c r="D14" i="5"/>
  <c r="D4" i="5" s="1"/>
  <c r="D20" i="5"/>
  <c r="D10" i="5" s="1"/>
  <c r="D17" i="5"/>
  <c r="D7" i="5" s="1"/>
  <c r="D19" i="5"/>
  <c r="D9" i="5" s="1"/>
  <c r="D15" i="5"/>
  <c r="D5" i="5" s="1"/>
  <c r="D11" i="5"/>
  <c r="D1" i="5" s="1"/>
  <c r="D12" i="5"/>
  <c r="D2" i="5" s="1"/>
  <c r="O1" i="1" l="1"/>
  <c r="E6" i="5"/>
  <c r="E16" i="5"/>
  <c r="E5" i="5"/>
  <c r="E15" i="5"/>
  <c r="E9" i="5"/>
  <c r="E19" i="5"/>
  <c r="E7" i="5"/>
  <c r="E17" i="5"/>
  <c r="E11" i="5"/>
  <c r="E20" i="5"/>
  <c r="E10" i="5"/>
  <c r="E14" i="5"/>
  <c r="E4" i="5"/>
  <c r="E3" i="5"/>
  <c r="E13" i="5"/>
  <c r="E2" i="5"/>
  <c r="E12" i="5"/>
  <c r="E18" i="5"/>
  <c r="E8" i="5"/>
  <c r="E1" i="5" l="1"/>
  <c r="E31" i="5" s="1"/>
</calcChain>
</file>

<file path=xl/sharedStrings.xml><?xml version="1.0" encoding="utf-8"?>
<sst xmlns="http://schemas.openxmlformats.org/spreadsheetml/2006/main" count="316" uniqueCount="91">
  <si>
    <t>A</t>
  </si>
  <si>
    <t>K</t>
  </si>
  <si>
    <t>Q</t>
  </si>
  <si>
    <t>J</t>
  </si>
  <si>
    <t>T</t>
  </si>
  <si>
    <t>Linee</t>
  </si>
  <si>
    <t>LINEE</t>
  </si>
  <si>
    <t>SALDO</t>
  </si>
  <si>
    <t>TTT</t>
  </si>
  <si>
    <t>JJJ</t>
  </si>
  <si>
    <t>QQQ</t>
  </si>
  <si>
    <t>KKK</t>
  </si>
  <si>
    <t>AAA</t>
  </si>
  <si>
    <t>TTTT</t>
  </si>
  <si>
    <t>JJJJ</t>
  </si>
  <si>
    <t>QQQQ</t>
  </si>
  <si>
    <t>KKKK</t>
  </si>
  <si>
    <t>AAAA</t>
  </si>
  <si>
    <t>TTTTT</t>
  </si>
  <si>
    <t>JJJJJ</t>
  </si>
  <si>
    <t>QQQQQ</t>
  </si>
  <si>
    <t>KKKKK</t>
  </si>
  <si>
    <t>AAAAA</t>
  </si>
  <si>
    <t>VALORE GIOCATA</t>
  </si>
  <si>
    <t>Linea 1</t>
  </si>
  <si>
    <t>Linea 2</t>
  </si>
  <si>
    <t>Linea 6</t>
  </si>
  <si>
    <t>Linea 7</t>
  </si>
  <si>
    <t>Linea 8</t>
  </si>
  <si>
    <t>Linea 9</t>
  </si>
  <si>
    <t>Linea 10</t>
  </si>
  <si>
    <t>Linea 3</t>
  </si>
  <si>
    <t>Linea 4</t>
  </si>
  <si>
    <t>Linea 5</t>
  </si>
  <si>
    <t>Linea 11</t>
  </si>
  <si>
    <t>Linea 12</t>
  </si>
  <si>
    <t>Linea 13</t>
  </si>
  <si>
    <t>Linea 14</t>
  </si>
  <si>
    <t>Linea 15</t>
  </si>
  <si>
    <t>Linea 16</t>
  </si>
  <si>
    <t>Linea 17</t>
  </si>
  <si>
    <t>Linea 18</t>
  </si>
  <si>
    <t>Linea 19</t>
  </si>
  <si>
    <t>Linea 20</t>
  </si>
  <si>
    <t>Linea 21</t>
  </si>
  <si>
    <t>Linea 22</t>
  </si>
  <si>
    <t>Linea 23</t>
  </si>
  <si>
    <t>Linea 24</t>
  </si>
  <si>
    <t>Linea 25</t>
  </si>
  <si>
    <t>555</t>
  </si>
  <si>
    <t>9999</t>
  </si>
  <si>
    <t>666</t>
  </si>
  <si>
    <t>777</t>
  </si>
  <si>
    <t>888</t>
  </si>
  <si>
    <t>999</t>
  </si>
  <si>
    <t>5555</t>
  </si>
  <si>
    <t>6666</t>
  </si>
  <si>
    <t>7777</t>
  </si>
  <si>
    <t>8888</t>
  </si>
  <si>
    <t>55555</t>
  </si>
  <si>
    <t>66666</t>
  </si>
  <si>
    <t>77777</t>
  </si>
  <si>
    <t>88888</t>
  </si>
  <si>
    <t>99999</t>
  </si>
  <si>
    <t>LINEA 1</t>
  </si>
  <si>
    <t>LINEA 2</t>
  </si>
  <si>
    <t>LINEA 3</t>
  </si>
  <si>
    <t>LINEA 4</t>
  </si>
  <si>
    <t>LINEA 5</t>
  </si>
  <si>
    <t>LINEA 6</t>
  </si>
  <si>
    <t>LINEA 7</t>
  </si>
  <si>
    <t>LINEA 8</t>
  </si>
  <si>
    <t>LINEA 9</t>
  </si>
  <si>
    <t>LINEA 10</t>
  </si>
  <si>
    <t>LINEA 11</t>
  </si>
  <si>
    <t>LINEA 12</t>
  </si>
  <si>
    <t>LINEA 13</t>
  </si>
  <si>
    <t>LINEA 14</t>
  </si>
  <si>
    <t>LINEA 15</t>
  </si>
  <si>
    <t>LINEA 16</t>
  </si>
  <si>
    <t>LINEA 17</t>
  </si>
  <si>
    <t>LINEA 18</t>
  </si>
  <si>
    <t>LINEA 19</t>
  </si>
  <si>
    <t>LINEA 20</t>
  </si>
  <si>
    <t>LINEA 21</t>
  </si>
  <si>
    <t>LINEA 22</t>
  </si>
  <si>
    <t>LINEA 23</t>
  </si>
  <si>
    <t>LINEA 24</t>
  </si>
  <si>
    <t>LINEA 25</t>
  </si>
  <si>
    <t>VINCITA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</si>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</sst>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-* #,##0_-;\-* #,##0_-;_-* &quot;-&quot;??_-;_-@_-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26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">
    <xf numFmtId="0" fontId="0" fillId="0" borderId="0" xfId="0"/>
    <xf numFmtId="0" fontId="0" fillId="0" borderId="1" xfId="0" applyBorder="1"/>
    <xf numFmtId="10" fontId="0" fillId="0" borderId="0" xfId="2" applyNumberFormat="1" applyFont="1"/>
    <xf numFmtId="43" fontId="0" fillId="0" borderId="0" xfId="1" applyFont="1"/>
    <xf numFmtId="43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164" fontId="0" fillId="0" borderId="0" xfId="0" applyNumberFormat="1"/>
    <xf numFmtId="0" fontId="0" fillId="0" borderId="0" xfId="0" quotePrefix="1"/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/>
    </xf>
  </cellXfs>
  <cellStyles count="3">
    <cellStyle name="Migliaia" xfId="1" builtinId="3"/>
    <cellStyle name="Normale" xfId="0" builtinId="0"/>
    <cellStyle name="Percentuale" xfId="2" builtinId="5"/>
  </cellStyles>
  <dxfs count="3">
    <dxf>
      <font>
        <color rgb="FFFF0000"/>
      </font>
    </dxf>
    <dxf>
      <font>
        <color rgb="FFFFC000"/>
      </font>
    </dxf>
    <dxf>
      <font>
        <color theme="5" tint="0.59996337778862885"/>
      </font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</xdr:row>
          <xdr:rowOff>219075</xdr:rowOff>
        </xdr:from>
        <xdr:to>
          <xdr:col>4</xdr:col>
          <xdr:colOff>733425</xdr:colOff>
          <xdr:row>5</xdr:row>
          <xdr:rowOff>609600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O13"/>
  <sheetViews>
    <sheetView workbookViewId="0"/>
  </sheetViews>
  <sheetFormatPr defaultRowHeight="15" x14ac:dyDescent="0.25"/>
  <cols>
    <col min="1" max="5" width="11.42578125" customWidth="1"/>
    <col min="6" max="6" width="3.5703125" customWidth="1"/>
    <col min="7" max="7" width="3" customWidth="1"/>
    <col min="8" max="8" width="19.7109375" customWidth="1"/>
    <col min="9" max="13" width="0.7109375" customWidth="1"/>
    <col min="14" max="14" width="29.140625" customWidth="1"/>
  </cols>
  <sheetData>
    <row r="1" spans="1:15" ht="60" customHeight="1" x14ac:dyDescent="0.25">
      <c r="A1" s="12">
        <f>VLOOKUP(Random!A1,Prob!$A$1:$B$275,2,0)</f>
        <v>6</v>
      </c>
      <c r="B1" s="13">
        <f>VLOOKUP(Random!B1,Prob!$A$1:$B$275,2,0)</f>
        <v>8</v>
      </c>
      <c r="C1" s="13">
        <f>VLOOKUP(Random!C1,Prob!$A$1:$B$275,2,0)</f>
        <v>7</v>
      </c>
      <c r="D1" s="13">
        <f>VLOOKUP(Random!D1,Prob!$A$1:$B$275,2,0)</f>
        <v>7</v>
      </c>
      <c r="E1" s="14">
        <f>VLOOKUP(Random!E1,Prob!$A$1:$B$275,2,0)</f>
        <v>8</v>
      </c>
      <c r="H1" s="9" t="s">
        <v>90</v>
      </c>
      <c r="I1" s="9" t="e">
        <f>VLOOKUP($H1,'Linee vincenti'!$A$36:$F$60,2,0)</f>
        <v>#N/A</v>
      </c>
      <c r="J1" s="9" t="e">
        <f>VLOOKUP($H1,'Linee vincenti'!$A$36:$F$60,3,0)</f>
        <v>#N/A</v>
      </c>
      <c r="K1" s="9" t="e">
        <f>VLOOKUP($H1,'Linee vincenti'!$A$36:$F$60,4,0)</f>
        <v>#N/A</v>
      </c>
      <c r="L1" s="9" t="e">
        <f>VLOOKUP($H1,'Linee vincenti'!$A$36:$F$60,5,0)</f>
        <v>#N/A</v>
      </c>
      <c r="M1" s="9" t="e">
        <f>VLOOKUP($H1,'Linee vincenti'!$A$36:$F$60,6,0)</f>
        <v>#N/A</v>
      </c>
      <c r="N1" s="9"/>
      <c r="O1" t="str">
        <f>IF(ISERROR(VLOOKUP(H1,'Combinazioni Uscite'!$E$2:$F$76,2,0)),"",VLOOKUP(H1,'Combinazioni Uscite'!$E$2:$F$76,2,0))</f>
        <v/>
      </c>
    </row>
    <row r="2" spans="1:15" ht="60" customHeight="1" x14ac:dyDescent="0.25">
      <c r="A2" s="15">
        <f>VLOOKUP(Random!A2,Prob!$A$1:$B$275,2,0)</f>
        <v>6</v>
      </c>
      <c r="B2" s="16" t="str">
        <f>VLOOKUP(Random!B2,Prob!$A$1:$B$275,2,0)</f>
        <v>J</v>
      </c>
      <c r="C2" s="16">
        <f>VLOOKUP(Random!C2,Prob!$A$1:$B$275,2,0)</f>
        <v>6</v>
      </c>
      <c r="D2" s="16" t="str">
        <f>VLOOKUP(Random!D2,Prob!$A$1:$B$275,2,0)</f>
        <v>T</v>
      </c>
      <c r="E2" s="17">
        <f>VLOOKUP(Random!E2,Prob!$A$1:$B$275,2,0)</f>
        <v>9</v>
      </c>
    </row>
    <row r="3" spans="1:15" ht="60" customHeight="1" x14ac:dyDescent="0.25">
      <c r="A3" s="15">
        <f>VLOOKUP(Random!A3,Prob!$A$1:$B$275,2,0)</f>
        <v>6</v>
      </c>
      <c r="B3" s="16">
        <f>VLOOKUP(Random!B3,Prob!$A$1:$B$275,2,0)</f>
        <v>5</v>
      </c>
      <c r="C3" s="16" t="str">
        <f>VLOOKUP(Random!C3,Prob!$A$1:$B$275,2,0)</f>
        <v>J</v>
      </c>
      <c r="D3" s="16" t="str">
        <f>VLOOKUP(Random!D3,Prob!$A$1:$B$275,2,0)</f>
        <v>T</v>
      </c>
      <c r="E3" s="17">
        <f>VLOOKUP(Random!E3,Prob!$A$1:$B$275,2,0)</f>
        <v>8</v>
      </c>
    </row>
    <row r="4" spans="1:15" ht="60" customHeight="1" x14ac:dyDescent="0.25">
      <c r="A4" s="15">
        <f>VLOOKUP(Random!A4,Prob!$A$1:$B$275,2,0)</f>
        <v>5</v>
      </c>
      <c r="B4" s="16">
        <f>VLOOKUP(Random!B4,Prob!$A$1:$B$275,2,0)</f>
        <v>6</v>
      </c>
      <c r="C4" s="16">
        <f>VLOOKUP(Random!C4,Prob!$A$1:$B$275,2,0)</f>
        <v>6</v>
      </c>
      <c r="D4" s="16">
        <f>VLOOKUP(Random!D4,Prob!$A$1:$B$275,2,0)</f>
        <v>8</v>
      </c>
      <c r="E4" s="17">
        <f>VLOOKUP(Random!E4,Prob!$A$1:$B$275,2,0)</f>
        <v>5</v>
      </c>
    </row>
    <row r="5" spans="1:15" ht="60" customHeight="1" thickBot="1" x14ac:dyDescent="0.3">
      <c r="A5" s="18">
        <f>VLOOKUP(Random!A5,Prob!$A$1:$B$275,2,0)</f>
        <v>8</v>
      </c>
      <c r="B5" s="19">
        <f>VLOOKUP(Random!B5,Prob!$A$1:$B$275,2,0)</f>
        <v>9</v>
      </c>
      <c r="C5" s="19" t="str">
        <f>VLOOKUP(Random!C5,Prob!$A$1:$B$275,2,0)</f>
        <v>K</v>
      </c>
      <c r="D5" s="19">
        <f>VLOOKUP(Random!D5,Prob!$A$1:$B$275,2,0)</f>
        <v>7</v>
      </c>
      <c r="E5" s="20" t="str">
        <f>VLOOKUP(Random!E5,Prob!$A$1:$B$275,2,0)</f>
        <v>J</v>
      </c>
    </row>
    <row r="6" spans="1:15" ht="65.099999999999994" customHeight="1" x14ac:dyDescent="0.25">
      <c r="A6" s="11" t="s">
        <v>6</v>
      </c>
      <c r="B6" s="10">
        <v>25</v>
      </c>
      <c r="C6" s="21" t="s">
        <v>23</v>
      </c>
      <c r="D6" s="10">
        <v>10</v>
      </c>
    </row>
    <row r="7" spans="1:15" ht="65.099999999999994" customHeight="1" x14ac:dyDescent="0.25">
      <c r="A7" s="11" t="s">
        <v>7</v>
      </c>
      <c r="B7" s="11">
        <v>21280</v>
      </c>
      <c r="C7" s="11" t="s">
        <v>89</v>
      </c>
      <c r="D7" s="11">
        <v>100</v>
      </c>
    </row>
    <row r="8" spans="1:15" ht="65.099999999999994" customHeight="1" x14ac:dyDescent="0.25"/>
    <row r="9" spans="1:15" ht="65.099999999999994" customHeight="1" x14ac:dyDescent="0.25"/>
    <row r="10" spans="1:15" ht="65.099999999999994" customHeight="1" x14ac:dyDescent="0.25"/>
    <row r="11" spans="1:15" ht="65.099999999999994" customHeight="1" x14ac:dyDescent="0.25"/>
    <row r="12" spans="1:15" ht="65.099999999999994" customHeight="1" x14ac:dyDescent="0.25"/>
    <row r="13" spans="1:15" ht="65.099999999999994" customHeight="1" x14ac:dyDescent="0.25"/>
  </sheetData>
  <phoneticPr fontId="3" type="noConversion"/>
  <conditionalFormatting sqref="A1:E5">
    <cfRule type="containsText" dxfId="2" priority="1" operator="containsText" text="Q">
      <formula>NOT(ISERROR(SEARCH("Q",A1)))</formula>
    </cfRule>
    <cfRule type="containsText" dxfId="1" priority="2" operator="containsText" text="K">
      <formula>NOT(ISERROR(SEARCH("K",A1)))</formula>
    </cfRule>
    <cfRule type="containsText" dxfId="0" priority="3" operator="containsText" text="A">
      <formula>NOT(ISERROR(SEARCH("A",A1)))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4</xdr:col>
                <xdr:colOff>38100</xdr:colOff>
                <xdr:row>5</xdr:row>
                <xdr:rowOff>219075</xdr:rowOff>
              </from>
              <to>
                <xdr:col>4</xdr:col>
                <xdr:colOff>733425</xdr:colOff>
                <xdr:row>5</xdr:row>
                <xdr:rowOff>609600</xdr:rowOff>
              </to>
            </anchor>
          </controlPr>
        </control>
      </mc:Choice>
      <mc:Fallback>
        <control shapeId="1026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Prob!$G$1:$G$25</xm:f>
          </x14:formula1>
          <xm:sqref>B6</xm:sqref>
        </x14:dataValidation>
        <x14:dataValidation type="list" allowBlank="1" showInputMessage="1" showErrorMessage="1" xr:uid="{00000000-0002-0000-0000-000001000000}">
          <x14:formula1>
            <xm:f>'Combinazioni Uscite'!$E$2:$E$76</xm:f>
          </x14:formula1>
          <xm:sqref>H1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manualMax="5" manualMin="1" displayEmptyCellsAs="gap" markers="1" high="1" low="1" displayXAxis="1" minAxisType="custom" maxAxisType="custom" xr2:uid="{00000000-0003-0000-0000-000000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Slot!I1:M1</xm:f>
              <xm:sqref>N1</xm:sqref>
            </x14:sparkline>
          </x14:sparklines>
        </x14:sparklineGroup>
        <x14:sparklineGroup manualMax="5" displayEmptyCellsAs="gap" markers="1" last="1" maxAxisType="custom" xr2:uid="{00000000-0003-0000-0000-000001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Slot!M2:Q2</xm:f>
              <xm:sqref>R2</xm:sqref>
            </x14:sparkline>
          </x14:sparklines>
        </x14:sparklineGroup>
        <x14:sparklineGroup displayEmptyCellsAs="gap" high="1" xr2:uid="{00000000-0003-0000-0000-000002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Slot!M1:Q1</xm:f>
              <xm:sqref>R1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E5"/>
  <sheetViews>
    <sheetView workbookViewId="0"/>
  </sheetViews>
  <sheetFormatPr defaultRowHeight="15" x14ac:dyDescent="0.25"/>
  <sheetData>
    <row r="1" spans="1:5" x14ac:dyDescent="0.25">
      <c r="A1">
        <v>95</v>
      </c>
      <c r="B1">
        <v>162</v>
      </c>
      <c r="C1">
        <v>127</v>
      </c>
      <c r="D1">
        <v>110</v>
      </c>
      <c r="E1">
        <v>162</v>
      </c>
    </row>
    <row r="2" spans="1:5" x14ac:dyDescent="0.25">
      <c r="A2">
        <v>59</v>
      </c>
      <c r="B2">
        <v>236</v>
      </c>
      <c r="C2">
        <v>79</v>
      </c>
      <c r="D2">
        <v>218</v>
      </c>
      <c r="E2">
        <v>182</v>
      </c>
    </row>
    <row r="3" spans="1:5" x14ac:dyDescent="0.25">
      <c r="A3">
        <v>56</v>
      </c>
      <c r="B3">
        <v>25</v>
      </c>
      <c r="C3">
        <v>230</v>
      </c>
      <c r="D3">
        <v>222</v>
      </c>
      <c r="E3">
        <v>161</v>
      </c>
    </row>
    <row r="4" spans="1:5" x14ac:dyDescent="0.25">
      <c r="A4">
        <v>36</v>
      </c>
      <c r="B4">
        <v>56</v>
      </c>
      <c r="C4">
        <v>85</v>
      </c>
      <c r="D4">
        <v>168</v>
      </c>
      <c r="E4">
        <v>17</v>
      </c>
    </row>
    <row r="5" spans="1:5" x14ac:dyDescent="0.25">
      <c r="A5">
        <v>167</v>
      </c>
      <c r="B5">
        <v>175</v>
      </c>
      <c r="C5">
        <v>268</v>
      </c>
      <c r="D5">
        <v>98</v>
      </c>
      <c r="E5">
        <v>232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O275"/>
  <sheetViews>
    <sheetView workbookViewId="0">
      <selection activeCell="O30" sqref="O30"/>
    </sheetView>
  </sheetViews>
  <sheetFormatPr defaultRowHeight="15" x14ac:dyDescent="0.25"/>
  <cols>
    <col min="15" max="15" width="15.28515625" bestFit="1" customWidth="1"/>
    <col min="16" max="16" width="13.28515625" bestFit="1" customWidth="1"/>
    <col min="17" max="17" width="15.28515625" bestFit="1" customWidth="1"/>
  </cols>
  <sheetData>
    <row r="1" spans="1:15" x14ac:dyDescent="0.25">
      <c r="A1">
        <v>1</v>
      </c>
      <c r="B1">
        <v>5</v>
      </c>
      <c r="G1">
        <v>1</v>
      </c>
      <c r="I1">
        <v>5</v>
      </c>
      <c r="J1">
        <f>COUNTIF(B:B,I1)</f>
        <v>50</v>
      </c>
      <c r="K1">
        <f t="shared" ref="K1:K9" si="0">J1/$J$11</f>
        <v>0.18181818181818182</v>
      </c>
      <c r="L1" s="2">
        <f>$K1^3</f>
        <v>6.0105184072126224E-3</v>
      </c>
      <c r="M1" s="2">
        <f>$K1^4</f>
        <v>1.0928215285841132E-3</v>
      </c>
      <c r="N1" s="2">
        <f>$K1^5</f>
        <v>1.9869482337892967E-4</v>
      </c>
      <c r="O1" s="3">
        <f>1/L1</f>
        <v>166.375</v>
      </c>
    </row>
    <row r="2" spans="1:15" x14ac:dyDescent="0.25">
      <c r="A2">
        <v>2</v>
      </c>
      <c r="B2">
        <v>5</v>
      </c>
      <c r="G2">
        <v>2</v>
      </c>
      <c r="I2">
        <v>6</v>
      </c>
      <c r="J2">
        <f t="shared" ref="J2:J10" si="1">COUNTIF(B:B,I2)</f>
        <v>45</v>
      </c>
      <c r="K2">
        <f t="shared" si="0"/>
        <v>0.16363636363636364</v>
      </c>
      <c r="L2" s="2">
        <f t="shared" ref="L2:L10" si="2">$K2^3</f>
        <v>4.3816679188580015E-3</v>
      </c>
      <c r="M2" s="2">
        <f t="shared" ref="M2:M10" si="3">$K2^4</f>
        <v>7.1700020490403664E-4</v>
      </c>
      <c r="N2" s="2">
        <f t="shared" ref="N2:N10" si="4">$K2^5</f>
        <v>1.1732730625702417E-4</v>
      </c>
      <c r="O2" s="3">
        <f t="shared" ref="O2:O10" si="5">1/L2</f>
        <v>228.2235939643347</v>
      </c>
    </row>
    <row r="3" spans="1:15" x14ac:dyDescent="0.25">
      <c r="A3">
        <v>3</v>
      </c>
      <c r="B3">
        <v>5</v>
      </c>
      <c r="G3">
        <v>3</v>
      </c>
      <c r="I3">
        <v>7</v>
      </c>
      <c r="J3">
        <f t="shared" si="1"/>
        <v>40</v>
      </c>
      <c r="K3">
        <f t="shared" si="0"/>
        <v>0.14545454545454545</v>
      </c>
      <c r="L3" s="2">
        <f t="shared" si="2"/>
        <v>3.0773854244928621E-3</v>
      </c>
      <c r="M3" s="2">
        <f t="shared" si="3"/>
        <v>4.4761969810805266E-4</v>
      </c>
      <c r="N3" s="2">
        <f t="shared" si="4"/>
        <v>6.5108319724807652E-5</v>
      </c>
      <c r="O3" s="3">
        <f t="shared" si="5"/>
        <v>324.95117187500006</v>
      </c>
    </row>
    <row r="4" spans="1:15" x14ac:dyDescent="0.25">
      <c r="A4">
        <v>4</v>
      </c>
      <c r="B4">
        <v>5</v>
      </c>
      <c r="G4">
        <v>4</v>
      </c>
      <c r="I4">
        <v>8</v>
      </c>
      <c r="J4">
        <f t="shared" si="1"/>
        <v>35</v>
      </c>
      <c r="K4">
        <f t="shared" si="0"/>
        <v>0.12727272727272726</v>
      </c>
      <c r="L4" s="2">
        <f t="shared" si="2"/>
        <v>2.0616078136739286E-3</v>
      </c>
      <c r="M4" s="2">
        <f t="shared" si="3"/>
        <v>2.6238644901304542E-4</v>
      </c>
      <c r="N4" s="2">
        <f t="shared" si="4"/>
        <v>3.3394638965296688E-5</v>
      </c>
      <c r="O4" s="3">
        <f t="shared" si="5"/>
        <v>485.05830903790104</v>
      </c>
    </row>
    <row r="5" spans="1:15" x14ac:dyDescent="0.25">
      <c r="A5">
        <v>5</v>
      </c>
      <c r="B5">
        <v>5</v>
      </c>
      <c r="G5">
        <v>5</v>
      </c>
      <c r="I5">
        <v>9</v>
      </c>
      <c r="J5">
        <f t="shared" si="1"/>
        <v>30</v>
      </c>
      <c r="K5">
        <f t="shared" si="0"/>
        <v>0.10909090909090909</v>
      </c>
      <c r="L5" s="2">
        <f t="shared" si="2"/>
        <v>1.2982719759579262E-3</v>
      </c>
      <c r="M5" s="2">
        <f t="shared" si="3"/>
        <v>1.4162967010450104E-4</v>
      </c>
      <c r="N5" s="2">
        <f t="shared" si="4"/>
        <v>1.5450509465945569E-5</v>
      </c>
      <c r="O5" s="3">
        <f t="shared" si="5"/>
        <v>770.25462962962979</v>
      </c>
    </row>
    <row r="6" spans="1:15" x14ac:dyDescent="0.25">
      <c r="A6">
        <v>6</v>
      </c>
      <c r="B6">
        <v>5</v>
      </c>
      <c r="G6">
        <v>6</v>
      </c>
      <c r="I6" t="s">
        <v>4</v>
      </c>
      <c r="J6">
        <f t="shared" si="1"/>
        <v>25</v>
      </c>
      <c r="K6">
        <f t="shared" si="0"/>
        <v>9.0909090909090912E-2</v>
      </c>
      <c r="L6" s="2">
        <f t="shared" si="2"/>
        <v>7.513148009015778E-4</v>
      </c>
      <c r="M6" s="2">
        <f t="shared" si="3"/>
        <v>6.8301345536507077E-5</v>
      </c>
      <c r="N6" s="2">
        <f t="shared" si="4"/>
        <v>6.2092132305915523E-6</v>
      </c>
      <c r="O6" s="3">
        <f t="shared" si="5"/>
        <v>1331</v>
      </c>
    </row>
    <row r="7" spans="1:15" x14ac:dyDescent="0.25">
      <c r="A7">
        <v>7</v>
      </c>
      <c r="B7">
        <v>5</v>
      </c>
      <c r="G7">
        <v>7</v>
      </c>
      <c r="I7" t="s">
        <v>3</v>
      </c>
      <c r="J7">
        <f t="shared" si="1"/>
        <v>20</v>
      </c>
      <c r="K7">
        <f t="shared" si="0"/>
        <v>7.2727272727272724E-2</v>
      </c>
      <c r="L7" s="2">
        <f t="shared" si="2"/>
        <v>3.8467317806160776E-4</v>
      </c>
      <c r="M7" s="2">
        <f t="shared" si="3"/>
        <v>2.7976231131753291E-5</v>
      </c>
      <c r="N7" s="2">
        <f t="shared" si="4"/>
        <v>2.0346349914002391E-6</v>
      </c>
      <c r="O7" s="3">
        <f t="shared" si="5"/>
        <v>2599.6093750000005</v>
      </c>
    </row>
    <row r="8" spans="1:15" x14ac:dyDescent="0.25">
      <c r="A8">
        <v>8</v>
      </c>
      <c r="B8">
        <v>5</v>
      </c>
      <c r="G8">
        <v>8</v>
      </c>
      <c r="I8" t="s">
        <v>2</v>
      </c>
      <c r="J8">
        <f t="shared" si="1"/>
        <v>15</v>
      </c>
      <c r="K8">
        <f t="shared" si="0"/>
        <v>5.4545454545454543E-2</v>
      </c>
      <c r="L8" s="2">
        <f t="shared" si="2"/>
        <v>1.6228399699474077E-4</v>
      </c>
      <c r="M8" s="2">
        <f t="shared" si="3"/>
        <v>8.8518543815313153E-6</v>
      </c>
      <c r="N8" s="2">
        <f t="shared" si="4"/>
        <v>4.8282842081079902E-7</v>
      </c>
      <c r="O8" s="3">
        <f t="shared" si="5"/>
        <v>6162.0370370370383</v>
      </c>
    </row>
    <row r="9" spans="1:15" x14ac:dyDescent="0.25">
      <c r="A9">
        <v>9</v>
      </c>
      <c r="B9">
        <v>5</v>
      </c>
      <c r="G9">
        <v>9</v>
      </c>
      <c r="I9" t="s">
        <v>1</v>
      </c>
      <c r="J9">
        <f t="shared" si="1"/>
        <v>10</v>
      </c>
      <c r="K9">
        <f t="shared" si="0"/>
        <v>3.6363636363636362E-2</v>
      </c>
      <c r="L9" s="2">
        <f t="shared" si="2"/>
        <v>4.808414725770097E-5</v>
      </c>
      <c r="M9" s="2">
        <f t="shared" si="3"/>
        <v>1.7485144457345807E-6</v>
      </c>
      <c r="N9" s="2">
        <f t="shared" si="4"/>
        <v>6.3582343481257472E-8</v>
      </c>
      <c r="O9" s="3">
        <f t="shared" si="5"/>
        <v>20796.875000000004</v>
      </c>
    </row>
    <row r="10" spans="1:15" x14ac:dyDescent="0.25">
      <c r="A10">
        <v>10</v>
      </c>
      <c r="B10">
        <v>5</v>
      </c>
      <c r="G10">
        <v>10</v>
      </c>
      <c r="I10" t="s">
        <v>0</v>
      </c>
      <c r="J10">
        <f t="shared" si="1"/>
        <v>5</v>
      </c>
      <c r="K10">
        <f>J10/$J$11</f>
        <v>1.8181818181818181E-2</v>
      </c>
      <c r="L10" s="2">
        <f t="shared" si="2"/>
        <v>6.0105184072126212E-6</v>
      </c>
      <c r="M10" s="2">
        <f t="shared" si="3"/>
        <v>1.0928215285841129E-7</v>
      </c>
      <c r="N10" s="2">
        <f t="shared" si="4"/>
        <v>1.986948233789296E-9</v>
      </c>
      <c r="O10" s="3">
        <f t="shared" si="5"/>
        <v>166375.00000000003</v>
      </c>
    </row>
    <row r="11" spans="1:15" x14ac:dyDescent="0.25">
      <c r="A11">
        <v>11</v>
      </c>
      <c r="B11">
        <v>5</v>
      </c>
      <c r="G11">
        <v>11</v>
      </c>
      <c r="J11">
        <f>SUM(J1:J10)</f>
        <v>275</v>
      </c>
      <c r="O11" s="3">
        <f t="shared" ref="O11:O20" si="6">1/M1</f>
        <v>915.06249999999989</v>
      </c>
    </row>
    <row r="12" spans="1:15" x14ac:dyDescent="0.25">
      <c r="A12">
        <v>12</v>
      </c>
      <c r="B12">
        <v>5</v>
      </c>
      <c r="G12">
        <v>12</v>
      </c>
      <c r="O12" s="3">
        <f t="shared" si="6"/>
        <v>1394.6997408931566</v>
      </c>
    </row>
    <row r="13" spans="1:15" x14ac:dyDescent="0.25">
      <c r="A13">
        <v>13</v>
      </c>
      <c r="B13">
        <v>5</v>
      </c>
      <c r="G13">
        <v>13</v>
      </c>
      <c r="O13" s="3">
        <f t="shared" si="6"/>
        <v>2234.0393066406255</v>
      </c>
    </row>
    <row r="14" spans="1:15" x14ac:dyDescent="0.25">
      <c r="A14">
        <v>14</v>
      </c>
      <c r="B14">
        <v>5</v>
      </c>
      <c r="G14">
        <v>14</v>
      </c>
      <c r="O14" s="3">
        <f t="shared" si="6"/>
        <v>3811.1724281549373</v>
      </c>
    </row>
    <row r="15" spans="1:15" x14ac:dyDescent="0.25">
      <c r="A15">
        <v>15</v>
      </c>
      <c r="B15">
        <v>5</v>
      </c>
      <c r="G15">
        <v>15</v>
      </c>
      <c r="O15" s="3">
        <f t="shared" si="6"/>
        <v>7060.6674382716055</v>
      </c>
    </row>
    <row r="16" spans="1:15" x14ac:dyDescent="0.25">
      <c r="A16">
        <v>16</v>
      </c>
      <c r="B16">
        <v>5</v>
      </c>
      <c r="G16">
        <v>16</v>
      </c>
      <c r="O16" s="3">
        <f t="shared" si="6"/>
        <v>14640.999999999998</v>
      </c>
    </row>
    <row r="17" spans="1:15" x14ac:dyDescent="0.25">
      <c r="A17">
        <v>17</v>
      </c>
      <c r="B17">
        <v>5</v>
      </c>
      <c r="G17">
        <v>17</v>
      </c>
      <c r="O17" s="3">
        <f t="shared" si="6"/>
        <v>35744.628906250007</v>
      </c>
    </row>
    <row r="18" spans="1:15" x14ac:dyDescent="0.25">
      <c r="A18">
        <v>18</v>
      </c>
      <c r="B18">
        <v>5</v>
      </c>
      <c r="G18">
        <v>18</v>
      </c>
      <c r="O18" s="3">
        <f t="shared" si="6"/>
        <v>112970.67901234569</v>
      </c>
    </row>
    <row r="19" spans="1:15" x14ac:dyDescent="0.25">
      <c r="A19">
        <v>19</v>
      </c>
      <c r="B19">
        <v>5</v>
      </c>
      <c r="G19">
        <v>19</v>
      </c>
      <c r="O19" s="3">
        <f t="shared" si="6"/>
        <v>571914.06250000012</v>
      </c>
    </row>
    <row r="20" spans="1:15" x14ac:dyDescent="0.25">
      <c r="A20">
        <v>20</v>
      </c>
      <c r="B20">
        <v>5</v>
      </c>
      <c r="G20">
        <v>20</v>
      </c>
      <c r="O20" s="3">
        <f t="shared" si="6"/>
        <v>9150625.0000000019</v>
      </c>
    </row>
    <row r="21" spans="1:15" x14ac:dyDescent="0.25">
      <c r="A21">
        <v>21</v>
      </c>
      <c r="B21">
        <v>5</v>
      </c>
      <c r="G21">
        <v>21</v>
      </c>
      <c r="O21" s="3">
        <f t="shared" ref="O21:O30" si="7">1/N1</f>
        <v>5032.84375</v>
      </c>
    </row>
    <row r="22" spans="1:15" x14ac:dyDescent="0.25">
      <c r="A22">
        <v>22</v>
      </c>
      <c r="B22">
        <v>5</v>
      </c>
      <c r="G22">
        <v>22</v>
      </c>
      <c r="O22" s="3">
        <f t="shared" si="7"/>
        <v>8523.1650832359574</v>
      </c>
    </row>
    <row r="23" spans="1:15" x14ac:dyDescent="0.25">
      <c r="A23">
        <v>23</v>
      </c>
      <c r="B23">
        <v>5</v>
      </c>
      <c r="G23">
        <v>23</v>
      </c>
      <c r="O23" s="3">
        <f t="shared" si="7"/>
        <v>15359.020233154301</v>
      </c>
    </row>
    <row r="24" spans="1:15" x14ac:dyDescent="0.25">
      <c r="A24">
        <v>24</v>
      </c>
      <c r="B24">
        <v>5</v>
      </c>
      <c r="G24">
        <v>24</v>
      </c>
      <c r="O24" s="3">
        <f t="shared" si="7"/>
        <v>29944.926221217367</v>
      </c>
    </row>
    <row r="25" spans="1:15" x14ac:dyDescent="0.25">
      <c r="A25">
        <v>25</v>
      </c>
      <c r="B25">
        <v>5</v>
      </c>
      <c r="G25">
        <v>25</v>
      </c>
      <c r="O25" s="3">
        <f t="shared" si="7"/>
        <v>64722.784850823053</v>
      </c>
    </row>
    <row r="26" spans="1:15" x14ac:dyDescent="0.25">
      <c r="A26">
        <v>26</v>
      </c>
      <c r="B26">
        <v>5</v>
      </c>
      <c r="O26" s="3">
        <f t="shared" si="7"/>
        <v>161051</v>
      </c>
    </row>
    <row r="27" spans="1:15" x14ac:dyDescent="0.25">
      <c r="A27">
        <v>27</v>
      </c>
      <c r="B27">
        <v>5</v>
      </c>
      <c r="O27" s="3">
        <f t="shared" si="7"/>
        <v>491488.64746093762</v>
      </c>
    </row>
    <row r="28" spans="1:15" x14ac:dyDescent="0.25">
      <c r="A28">
        <v>28</v>
      </c>
      <c r="B28">
        <v>5</v>
      </c>
      <c r="O28" s="3">
        <f t="shared" si="7"/>
        <v>2071129.1152263377</v>
      </c>
    </row>
    <row r="29" spans="1:15" x14ac:dyDescent="0.25">
      <c r="A29">
        <v>29</v>
      </c>
      <c r="B29">
        <v>5</v>
      </c>
      <c r="O29" s="3">
        <f t="shared" si="7"/>
        <v>15727636.718750004</v>
      </c>
    </row>
    <row r="30" spans="1:15" x14ac:dyDescent="0.25">
      <c r="A30">
        <v>30</v>
      </c>
      <c r="B30">
        <v>5</v>
      </c>
      <c r="O30" s="3">
        <f t="shared" si="7"/>
        <v>503284375.00000012</v>
      </c>
    </row>
    <row r="31" spans="1:15" x14ac:dyDescent="0.25">
      <c r="A31">
        <v>31</v>
      </c>
      <c r="B31">
        <v>5</v>
      </c>
    </row>
    <row r="32" spans="1:15" x14ac:dyDescent="0.25">
      <c r="A32">
        <v>32</v>
      </c>
      <c r="B32">
        <v>5</v>
      </c>
    </row>
    <row r="33" spans="1:2" x14ac:dyDescent="0.25">
      <c r="A33">
        <v>33</v>
      </c>
      <c r="B33">
        <v>5</v>
      </c>
    </row>
    <row r="34" spans="1:2" x14ac:dyDescent="0.25">
      <c r="A34">
        <v>34</v>
      </c>
      <c r="B34">
        <v>5</v>
      </c>
    </row>
    <row r="35" spans="1:2" x14ac:dyDescent="0.25">
      <c r="A35">
        <v>35</v>
      </c>
      <c r="B35">
        <v>5</v>
      </c>
    </row>
    <row r="36" spans="1:2" x14ac:dyDescent="0.25">
      <c r="A36">
        <v>36</v>
      </c>
      <c r="B36">
        <v>5</v>
      </c>
    </row>
    <row r="37" spans="1:2" x14ac:dyDescent="0.25">
      <c r="A37">
        <v>37</v>
      </c>
      <c r="B37">
        <v>5</v>
      </c>
    </row>
    <row r="38" spans="1:2" x14ac:dyDescent="0.25">
      <c r="A38">
        <v>38</v>
      </c>
      <c r="B38">
        <v>5</v>
      </c>
    </row>
    <row r="39" spans="1:2" x14ac:dyDescent="0.25">
      <c r="A39">
        <v>39</v>
      </c>
      <c r="B39">
        <v>5</v>
      </c>
    </row>
    <row r="40" spans="1:2" x14ac:dyDescent="0.25">
      <c r="A40">
        <v>40</v>
      </c>
      <c r="B40">
        <v>5</v>
      </c>
    </row>
    <row r="41" spans="1:2" x14ac:dyDescent="0.25">
      <c r="A41">
        <v>41</v>
      </c>
      <c r="B41">
        <v>5</v>
      </c>
    </row>
    <row r="42" spans="1:2" x14ac:dyDescent="0.25">
      <c r="A42">
        <v>42</v>
      </c>
      <c r="B42">
        <v>5</v>
      </c>
    </row>
    <row r="43" spans="1:2" x14ac:dyDescent="0.25">
      <c r="A43">
        <v>43</v>
      </c>
      <c r="B43">
        <v>5</v>
      </c>
    </row>
    <row r="44" spans="1:2" x14ac:dyDescent="0.25">
      <c r="A44">
        <v>44</v>
      </c>
      <c r="B44">
        <v>5</v>
      </c>
    </row>
    <row r="45" spans="1:2" x14ac:dyDescent="0.25">
      <c r="A45">
        <v>45</v>
      </c>
      <c r="B45">
        <v>5</v>
      </c>
    </row>
    <row r="46" spans="1:2" x14ac:dyDescent="0.25">
      <c r="A46">
        <v>46</v>
      </c>
      <c r="B46">
        <v>5</v>
      </c>
    </row>
    <row r="47" spans="1:2" x14ac:dyDescent="0.25">
      <c r="A47">
        <v>47</v>
      </c>
      <c r="B47">
        <v>5</v>
      </c>
    </row>
    <row r="48" spans="1:2" x14ac:dyDescent="0.25">
      <c r="A48">
        <v>48</v>
      </c>
      <c r="B48">
        <v>5</v>
      </c>
    </row>
    <row r="49" spans="1:2" x14ac:dyDescent="0.25">
      <c r="A49">
        <v>49</v>
      </c>
      <c r="B49">
        <v>5</v>
      </c>
    </row>
    <row r="50" spans="1:2" x14ac:dyDescent="0.25">
      <c r="A50">
        <v>50</v>
      </c>
      <c r="B50">
        <v>5</v>
      </c>
    </row>
    <row r="51" spans="1:2" x14ac:dyDescent="0.25">
      <c r="A51">
        <v>51</v>
      </c>
      <c r="B51">
        <v>6</v>
      </c>
    </row>
    <row r="52" spans="1:2" x14ac:dyDescent="0.25">
      <c r="A52">
        <v>52</v>
      </c>
      <c r="B52">
        <v>6</v>
      </c>
    </row>
    <row r="53" spans="1:2" x14ac:dyDescent="0.25">
      <c r="A53">
        <v>53</v>
      </c>
      <c r="B53">
        <v>6</v>
      </c>
    </row>
    <row r="54" spans="1:2" x14ac:dyDescent="0.25">
      <c r="A54">
        <v>54</v>
      </c>
      <c r="B54">
        <v>6</v>
      </c>
    </row>
    <row r="55" spans="1:2" x14ac:dyDescent="0.25">
      <c r="A55">
        <v>55</v>
      </c>
      <c r="B55">
        <v>6</v>
      </c>
    </row>
    <row r="56" spans="1:2" x14ac:dyDescent="0.25">
      <c r="A56">
        <v>56</v>
      </c>
      <c r="B56">
        <v>6</v>
      </c>
    </row>
    <row r="57" spans="1:2" x14ac:dyDescent="0.25">
      <c r="A57">
        <v>57</v>
      </c>
      <c r="B57">
        <v>6</v>
      </c>
    </row>
    <row r="58" spans="1:2" x14ac:dyDescent="0.25">
      <c r="A58">
        <v>58</v>
      </c>
      <c r="B58">
        <v>6</v>
      </c>
    </row>
    <row r="59" spans="1:2" x14ac:dyDescent="0.25">
      <c r="A59">
        <v>59</v>
      </c>
      <c r="B59">
        <v>6</v>
      </c>
    </row>
    <row r="60" spans="1:2" x14ac:dyDescent="0.25">
      <c r="A60">
        <v>60</v>
      </c>
      <c r="B60">
        <v>6</v>
      </c>
    </row>
    <row r="61" spans="1:2" x14ac:dyDescent="0.25">
      <c r="A61">
        <v>61</v>
      </c>
      <c r="B61">
        <v>6</v>
      </c>
    </row>
    <row r="62" spans="1:2" x14ac:dyDescent="0.25">
      <c r="A62">
        <v>62</v>
      </c>
      <c r="B62">
        <v>6</v>
      </c>
    </row>
    <row r="63" spans="1:2" x14ac:dyDescent="0.25">
      <c r="A63">
        <v>63</v>
      </c>
      <c r="B63">
        <v>6</v>
      </c>
    </row>
    <row r="64" spans="1:2" x14ac:dyDescent="0.25">
      <c r="A64">
        <v>64</v>
      </c>
      <c r="B64">
        <v>6</v>
      </c>
    </row>
    <row r="65" spans="1:2" x14ac:dyDescent="0.25">
      <c r="A65">
        <v>65</v>
      </c>
      <c r="B65">
        <v>6</v>
      </c>
    </row>
    <row r="66" spans="1:2" x14ac:dyDescent="0.25">
      <c r="A66">
        <v>66</v>
      </c>
      <c r="B66">
        <v>6</v>
      </c>
    </row>
    <row r="67" spans="1:2" x14ac:dyDescent="0.25">
      <c r="A67">
        <v>67</v>
      </c>
      <c r="B67">
        <v>6</v>
      </c>
    </row>
    <row r="68" spans="1:2" x14ac:dyDescent="0.25">
      <c r="A68">
        <v>68</v>
      </c>
      <c r="B68">
        <v>6</v>
      </c>
    </row>
    <row r="69" spans="1:2" x14ac:dyDescent="0.25">
      <c r="A69">
        <v>69</v>
      </c>
      <c r="B69">
        <v>6</v>
      </c>
    </row>
    <row r="70" spans="1:2" x14ac:dyDescent="0.25">
      <c r="A70">
        <v>70</v>
      </c>
      <c r="B70">
        <v>6</v>
      </c>
    </row>
    <row r="71" spans="1:2" x14ac:dyDescent="0.25">
      <c r="A71">
        <v>71</v>
      </c>
      <c r="B71">
        <v>6</v>
      </c>
    </row>
    <row r="72" spans="1:2" x14ac:dyDescent="0.25">
      <c r="A72">
        <v>72</v>
      </c>
      <c r="B72">
        <v>6</v>
      </c>
    </row>
    <row r="73" spans="1:2" x14ac:dyDescent="0.25">
      <c r="A73">
        <v>73</v>
      </c>
      <c r="B73">
        <v>6</v>
      </c>
    </row>
    <row r="74" spans="1:2" x14ac:dyDescent="0.25">
      <c r="A74">
        <v>74</v>
      </c>
      <c r="B74">
        <v>6</v>
      </c>
    </row>
    <row r="75" spans="1:2" x14ac:dyDescent="0.25">
      <c r="A75">
        <v>75</v>
      </c>
      <c r="B75">
        <v>6</v>
      </c>
    </row>
    <row r="76" spans="1:2" x14ac:dyDescent="0.25">
      <c r="A76">
        <v>76</v>
      </c>
      <c r="B76">
        <v>6</v>
      </c>
    </row>
    <row r="77" spans="1:2" x14ac:dyDescent="0.25">
      <c r="A77">
        <v>77</v>
      </c>
      <c r="B77">
        <v>6</v>
      </c>
    </row>
    <row r="78" spans="1:2" x14ac:dyDescent="0.25">
      <c r="A78">
        <v>78</v>
      </c>
      <c r="B78">
        <v>6</v>
      </c>
    </row>
    <row r="79" spans="1:2" x14ac:dyDescent="0.25">
      <c r="A79">
        <v>79</v>
      </c>
      <c r="B79">
        <v>6</v>
      </c>
    </row>
    <row r="80" spans="1:2" x14ac:dyDescent="0.25">
      <c r="A80">
        <v>80</v>
      </c>
      <c r="B80">
        <v>6</v>
      </c>
    </row>
    <row r="81" spans="1:2" x14ac:dyDescent="0.25">
      <c r="A81">
        <v>81</v>
      </c>
      <c r="B81">
        <v>6</v>
      </c>
    </row>
    <row r="82" spans="1:2" x14ac:dyDescent="0.25">
      <c r="A82">
        <v>82</v>
      </c>
      <c r="B82">
        <v>6</v>
      </c>
    </row>
    <row r="83" spans="1:2" x14ac:dyDescent="0.25">
      <c r="A83">
        <v>83</v>
      </c>
      <c r="B83">
        <v>6</v>
      </c>
    </row>
    <row r="84" spans="1:2" x14ac:dyDescent="0.25">
      <c r="A84">
        <v>84</v>
      </c>
      <c r="B84">
        <v>6</v>
      </c>
    </row>
    <row r="85" spans="1:2" x14ac:dyDescent="0.25">
      <c r="A85">
        <v>85</v>
      </c>
      <c r="B85">
        <v>6</v>
      </c>
    </row>
    <row r="86" spans="1:2" x14ac:dyDescent="0.25">
      <c r="A86">
        <v>86</v>
      </c>
      <c r="B86">
        <v>6</v>
      </c>
    </row>
    <row r="87" spans="1:2" x14ac:dyDescent="0.25">
      <c r="A87">
        <v>87</v>
      </c>
      <c r="B87">
        <v>6</v>
      </c>
    </row>
    <row r="88" spans="1:2" x14ac:dyDescent="0.25">
      <c r="A88">
        <v>88</v>
      </c>
      <c r="B88">
        <v>6</v>
      </c>
    </row>
    <row r="89" spans="1:2" x14ac:dyDescent="0.25">
      <c r="A89">
        <v>89</v>
      </c>
      <c r="B89">
        <v>6</v>
      </c>
    </row>
    <row r="90" spans="1:2" x14ac:dyDescent="0.25">
      <c r="A90">
        <v>90</v>
      </c>
      <c r="B90">
        <v>6</v>
      </c>
    </row>
    <row r="91" spans="1:2" x14ac:dyDescent="0.25">
      <c r="A91">
        <v>91</v>
      </c>
      <c r="B91">
        <v>6</v>
      </c>
    </row>
    <row r="92" spans="1:2" x14ac:dyDescent="0.25">
      <c r="A92">
        <v>92</v>
      </c>
      <c r="B92">
        <v>6</v>
      </c>
    </row>
    <row r="93" spans="1:2" x14ac:dyDescent="0.25">
      <c r="A93">
        <v>93</v>
      </c>
      <c r="B93">
        <v>6</v>
      </c>
    </row>
    <row r="94" spans="1:2" x14ac:dyDescent="0.25">
      <c r="A94">
        <v>94</v>
      </c>
      <c r="B94">
        <v>6</v>
      </c>
    </row>
    <row r="95" spans="1:2" x14ac:dyDescent="0.25">
      <c r="A95">
        <v>95</v>
      </c>
      <c r="B95">
        <v>6</v>
      </c>
    </row>
    <row r="96" spans="1:2" x14ac:dyDescent="0.25">
      <c r="A96">
        <v>96</v>
      </c>
      <c r="B96">
        <v>7</v>
      </c>
    </row>
    <row r="97" spans="1:2" x14ac:dyDescent="0.25">
      <c r="A97">
        <v>97</v>
      </c>
      <c r="B97">
        <v>7</v>
      </c>
    </row>
    <row r="98" spans="1:2" x14ac:dyDescent="0.25">
      <c r="A98">
        <v>98</v>
      </c>
      <c r="B98">
        <v>7</v>
      </c>
    </row>
    <row r="99" spans="1:2" x14ac:dyDescent="0.25">
      <c r="A99">
        <v>99</v>
      </c>
      <c r="B99">
        <v>7</v>
      </c>
    </row>
    <row r="100" spans="1:2" x14ac:dyDescent="0.25">
      <c r="A100">
        <v>100</v>
      </c>
      <c r="B100">
        <v>7</v>
      </c>
    </row>
    <row r="101" spans="1:2" x14ac:dyDescent="0.25">
      <c r="A101">
        <v>101</v>
      </c>
      <c r="B101">
        <v>7</v>
      </c>
    </row>
    <row r="102" spans="1:2" x14ac:dyDescent="0.25">
      <c r="A102">
        <v>102</v>
      </c>
      <c r="B102">
        <v>7</v>
      </c>
    </row>
    <row r="103" spans="1:2" x14ac:dyDescent="0.25">
      <c r="A103">
        <v>103</v>
      </c>
      <c r="B103">
        <v>7</v>
      </c>
    </row>
    <row r="104" spans="1:2" x14ac:dyDescent="0.25">
      <c r="A104">
        <v>104</v>
      </c>
      <c r="B104">
        <v>7</v>
      </c>
    </row>
    <row r="105" spans="1:2" x14ac:dyDescent="0.25">
      <c r="A105">
        <v>105</v>
      </c>
      <c r="B105">
        <v>7</v>
      </c>
    </row>
    <row r="106" spans="1:2" x14ac:dyDescent="0.25">
      <c r="A106">
        <v>106</v>
      </c>
      <c r="B106">
        <v>7</v>
      </c>
    </row>
    <row r="107" spans="1:2" x14ac:dyDescent="0.25">
      <c r="A107">
        <v>107</v>
      </c>
      <c r="B107">
        <v>7</v>
      </c>
    </row>
    <row r="108" spans="1:2" x14ac:dyDescent="0.25">
      <c r="A108">
        <v>108</v>
      </c>
      <c r="B108">
        <v>7</v>
      </c>
    </row>
    <row r="109" spans="1:2" x14ac:dyDescent="0.25">
      <c r="A109">
        <v>109</v>
      </c>
      <c r="B109">
        <v>7</v>
      </c>
    </row>
    <row r="110" spans="1:2" x14ac:dyDescent="0.25">
      <c r="A110">
        <v>110</v>
      </c>
      <c r="B110">
        <v>7</v>
      </c>
    </row>
    <row r="111" spans="1:2" x14ac:dyDescent="0.25">
      <c r="A111">
        <v>111</v>
      </c>
      <c r="B111">
        <v>7</v>
      </c>
    </row>
    <row r="112" spans="1:2" x14ac:dyDescent="0.25">
      <c r="A112">
        <v>112</v>
      </c>
      <c r="B112">
        <v>7</v>
      </c>
    </row>
    <row r="113" spans="1:2" x14ac:dyDescent="0.25">
      <c r="A113">
        <v>113</v>
      </c>
      <c r="B113">
        <v>7</v>
      </c>
    </row>
    <row r="114" spans="1:2" x14ac:dyDescent="0.25">
      <c r="A114">
        <v>114</v>
      </c>
      <c r="B114">
        <v>7</v>
      </c>
    </row>
    <row r="115" spans="1:2" x14ac:dyDescent="0.25">
      <c r="A115">
        <v>115</v>
      </c>
      <c r="B115">
        <v>7</v>
      </c>
    </row>
    <row r="116" spans="1:2" x14ac:dyDescent="0.25">
      <c r="A116">
        <v>116</v>
      </c>
      <c r="B116">
        <v>7</v>
      </c>
    </row>
    <row r="117" spans="1:2" x14ac:dyDescent="0.25">
      <c r="A117">
        <v>117</v>
      </c>
      <c r="B117">
        <v>7</v>
      </c>
    </row>
    <row r="118" spans="1:2" x14ac:dyDescent="0.25">
      <c r="A118">
        <v>118</v>
      </c>
      <c r="B118">
        <v>7</v>
      </c>
    </row>
    <row r="119" spans="1:2" x14ac:dyDescent="0.25">
      <c r="A119">
        <v>119</v>
      </c>
      <c r="B119">
        <v>7</v>
      </c>
    </row>
    <row r="120" spans="1:2" x14ac:dyDescent="0.25">
      <c r="A120">
        <v>120</v>
      </c>
      <c r="B120">
        <v>7</v>
      </c>
    </row>
    <row r="121" spans="1:2" x14ac:dyDescent="0.25">
      <c r="A121">
        <v>121</v>
      </c>
      <c r="B121">
        <v>7</v>
      </c>
    </row>
    <row r="122" spans="1:2" x14ac:dyDescent="0.25">
      <c r="A122">
        <v>122</v>
      </c>
      <c r="B122">
        <v>7</v>
      </c>
    </row>
    <row r="123" spans="1:2" x14ac:dyDescent="0.25">
      <c r="A123">
        <v>123</v>
      </c>
      <c r="B123">
        <v>7</v>
      </c>
    </row>
    <row r="124" spans="1:2" x14ac:dyDescent="0.25">
      <c r="A124">
        <v>124</v>
      </c>
      <c r="B124">
        <v>7</v>
      </c>
    </row>
    <row r="125" spans="1:2" x14ac:dyDescent="0.25">
      <c r="A125">
        <v>125</v>
      </c>
      <c r="B125">
        <v>7</v>
      </c>
    </row>
    <row r="126" spans="1:2" x14ac:dyDescent="0.25">
      <c r="A126">
        <v>126</v>
      </c>
      <c r="B126">
        <v>7</v>
      </c>
    </row>
    <row r="127" spans="1:2" x14ac:dyDescent="0.25">
      <c r="A127">
        <v>127</v>
      </c>
      <c r="B127">
        <v>7</v>
      </c>
    </row>
    <row r="128" spans="1:2" x14ac:dyDescent="0.25">
      <c r="A128">
        <v>128</v>
      </c>
      <c r="B128">
        <v>7</v>
      </c>
    </row>
    <row r="129" spans="1:2" x14ac:dyDescent="0.25">
      <c r="A129">
        <v>129</v>
      </c>
      <c r="B129">
        <v>7</v>
      </c>
    </row>
    <row r="130" spans="1:2" x14ac:dyDescent="0.25">
      <c r="A130">
        <v>130</v>
      </c>
      <c r="B130">
        <v>7</v>
      </c>
    </row>
    <row r="131" spans="1:2" x14ac:dyDescent="0.25">
      <c r="A131">
        <v>131</v>
      </c>
      <c r="B131">
        <v>7</v>
      </c>
    </row>
    <row r="132" spans="1:2" x14ac:dyDescent="0.25">
      <c r="A132">
        <v>132</v>
      </c>
      <c r="B132">
        <v>7</v>
      </c>
    </row>
    <row r="133" spans="1:2" x14ac:dyDescent="0.25">
      <c r="A133">
        <v>133</v>
      </c>
      <c r="B133">
        <v>7</v>
      </c>
    </row>
    <row r="134" spans="1:2" x14ac:dyDescent="0.25">
      <c r="A134">
        <v>134</v>
      </c>
      <c r="B134">
        <v>7</v>
      </c>
    </row>
    <row r="135" spans="1:2" x14ac:dyDescent="0.25">
      <c r="A135">
        <v>135</v>
      </c>
      <c r="B135">
        <v>7</v>
      </c>
    </row>
    <row r="136" spans="1:2" x14ac:dyDescent="0.25">
      <c r="A136">
        <v>136</v>
      </c>
      <c r="B136">
        <v>8</v>
      </c>
    </row>
    <row r="137" spans="1:2" x14ac:dyDescent="0.25">
      <c r="A137">
        <v>137</v>
      </c>
      <c r="B137">
        <v>8</v>
      </c>
    </row>
    <row r="138" spans="1:2" x14ac:dyDescent="0.25">
      <c r="A138">
        <v>138</v>
      </c>
      <c r="B138">
        <v>8</v>
      </c>
    </row>
    <row r="139" spans="1:2" x14ac:dyDescent="0.25">
      <c r="A139">
        <v>139</v>
      </c>
      <c r="B139">
        <v>8</v>
      </c>
    </row>
    <row r="140" spans="1:2" x14ac:dyDescent="0.25">
      <c r="A140">
        <v>140</v>
      </c>
      <c r="B140">
        <v>8</v>
      </c>
    </row>
    <row r="141" spans="1:2" x14ac:dyDescent="0.25">
      <c r="A141">
        <v>141</v>
      </c>
      <c r="B141">
        <v>8</v>
      </c>
    </row>
    <row r="142" spans="1:2" x14ac:dyDescent="0.25">
      <c r="A142">
        <v>142</v>
      </c>
      <c r="B142">
        <v>8</v>
      </c>
    </row>
    <row r="143" spans="1:2" x14ac:dyDescent="0.25">
      <c r="A143">
        <v>143</v>
      </c>
      <c r="B143">
        <v>8</v>
      </c>
    </row>
    <row r="144" spans="1:2" x14ac:dyDescent="0.25">
      <c r="A144">
        <v>144</v>
      </c>
      <c r="B144">
        <v>8</v>
      </c>
    </row>
    <row r="145" spans="1:2" x14ac:dyDescent="0.25">
      <c r="A145">
        <v>145</v>
      </c>
      <c r="B145">
        <v>8</v>
      </c>
    </row>
    <row r="146" spans="1:2" x14ac:dyDescent="0.25">
      <c r="A146">
        <v>146</v>
      </c>
      <c r="B146">
        <v>8</v>
      </c>
    </row>
    <row r="147" spans="1:2" x14ac:dyDescent="0.25">
      <c r="A147">
        <v>147</v>
      </c>
      <c r="B147">
        <v>8</v>
      </c>
    </row>
    <row r="148" spans="1:2" x14ac:dyDescent="0.25">
      <c r="A148">
        <v>148</v>
      </c>
      <c r="B148">
        <v>8</v>
      </c>
    </row>
    <row r="149" spans="1:2" x14ac:dyDescent="0.25">
      <c r="A149">
        <v>149</v>
      </c>
      <c r="B149">
        <v>8</v>
      </c>
    </row>
    <row r="150" spans="1:2" x14ac:dyDescent="0.25">
      <c r="A150">
        <v>150</v>
      </c>
      <c r="B150">
        <v>8</v>
      </c>
    </row>
    <row r="151" spans="1:2" x14ac:dyDescent="0.25">
      <c r="A151">
        <v>151</v>
      </c>
      <c r="B151">
        <v>8</v>
      </c>
    </row>
    <row r="152" spans="1:2" x14ac:dyDescent="0.25">
      <c r="A152">
        <v>152</v>
      </c>
      <c r="B152">
        <v>8</v>
      </c>
    </row>
    <row r="153" spans="1:2" x14ac:dyDescent="0.25">
      <c r="A153">
        <v>153</v>
      </c>
      <c r="B153">
        <v>8</v>
      </c>
    </row>
    <row r="154" spans="1:2" x14ac:dyDescent="0.25">
      <c r="A154">
        <v>154</v>
      </c>
      <c r="B154">
        <v>8</v>
      </c>
    </row>
    <row r="155" spans="1:2" x14ac:dyDescent="0.25">
      <c r="A155">
        <v>155</v>
      </c>
      <c r="B155">
        <v>8</v>
      </c>
    </row>
    <row r="156" spans="1:2" x14ac:dyDescent="0.25">
      <c r="A156">
        <v>156</v>
      </c>
      <c r="B156">
        <v>8</v>
      </c>
    </row>
    <row r="157" spans="1:2" x14ac:dyDescent="0.25">
      <c r="A157">
        <v>157</v>
      </c>
      <c r="B157">
        <v>8</v>
      </c>
    </row>
    <row r="158" spans="1:2" x14ac:dyDescent="0.25">
      <c r="A158">
        <v>158</v>
      </c>
      <c r="B158">
        <v>8</v>
      </c>
    </row>
    <row r="159" spans="1:2" x14ac:dyDescent="0.25">
      <c r="A159">
        <v>159</v>
      </c>
      <c r="B159">
        <v>8</v>
      </c>
    </row>
    <row r="160" spans="1:2" x14ac:dyDescent="0.25">
      <c r="A160">
        <v>160</v>
      </c>
      <c r="B160">
        <v>8</v>
      </c>
    </row>
    <row r="161" spans="1:2" x14ac:dyDescent="0.25">
      <c r="A161">
        <v>161</v>
      </c>
      <c r="B161">
        <v>8</v>
      </c>
    </row>
    <row r="162" spans="1:2" x14ac:dyDescent="0.25">
      <c r="A162">
        <v>162</v>
      </c>
      <c r="B162">
        <v>8</v>
      </c>
    </row>
    <row r="163" spans="1:2" x14ac:dyDescent="0.25">
      <c r="A163">
        <v>163</v>
      </c>
      <c r="B163">
        <v>8</v>
      </c>
    </row>
    <row r="164" spans="1:2" x14ac:dyDescent="0.25">
      <c r="A164">
        <v>164</v>
      </c>
      <c r="B164">
        <v>8</v>
      </c>
    </row>
    <row r="165" spans="1:2" x14ac:dyDescent="0.25">
      <c r="A165">
        <v>165</v>
      </c>
      <c r="B165">
        <v>8</v>
      </c>
    </row>
    <row r="166" spans="1:2" x14ac:dyDescent="0.25">
      <c r="A166">
        <v>166</v>
      </c>
      <c r="B166">
        <v>8</v>
      </c>
    </row>
    <row r="167" spans="1:2" x14ac:dyDescent="0.25">
      <c r="A167">
        <v>167</v>
      </c>
      <c r="B167">
        <v>8</v>
      </c>
    </row>
    <row r="168" spans="1:2" x14ac:dyDescent="0.25">
      <c r="A168">
        <v>168</v>
      </c>
      <c r="B168">
        <v>8</v>
      </c>
    </row>
    <row r="169" spans="1:2" x14ac:dyDescent="0.25">
      <c r="A169">
        <v>169</v>
      </c>
      <c r="B169">
        <v>8</v>
      </c>
    </row>
    <row r="170" spans="1:2" x14ac:dyDescent="0.25">
      <c r="A170">
        <v>170</v>
      </c>
      <c r="B170">
        <v>8</v>
      </c>
    </row>
    <row r="171" spans="1:2" x14ac:dyDescent="0.25">
      <c r="A171">
        <v>171</v>
      </c>
      <c r="B171">
        <v>9</v>
      </c>
    </row>
    <row r="172" spans="1:2" x14ac:dyDescent="0.25">
      <c r="A172">
        <v>172</v>
      </c>
      <c r="B172">
        <v>9</v>
      </c>
    </row>
    <row r="173" spans="1:2" x14ac:dyDescent="0.25">
      <c r="A173">
        <v>173</v>
      </c>
      <c r="B173">
        <v>9</v>
      </c>
    </row>
    <row r="174" spans="1:2" x14ac:dyDescent="0.25">
      <c r="A174">
        <v>174</v>
      </c>
      <c r="B174">
        <v>9</v>
      </c>
    </row>
    <row r="175" spans="1:2" x14ac:dyDescent="0.25">
      <c r="A175">
        <v>175</v>
      </c>
      <c r="B175">
        <v>9</v>
      </c>
    </row>
    <row r="176" spans="1:2" x14ac:dyDescent="0.25">
      <c r="A176">
        <v>176</v>
      </c>
      <c r="B176">
        <v>9</v>
      </c>
    </row>
    <row r="177" spans="1:2" x14ac:dyDescent="0.25">
      <c r="A177">
        <v>177</v>
      </c>
      <c r="B177">
        <v>9</v>
      </c>
    </row>
    <row r="178" spans="1:2" x14ac:dyDescent="0.25">
      <c r="A178">
        <v>178</v>
      </c>
      <c r="B178">
        <v>9</v>
      </c>
    </row>
    <row r="179" spans="1:2" x14ac:dyDescent="0.25">
      <c r="A179">
        <v>179</v>
      </c>
      <c r="B179">
        <v>9</v>
      </c>
    </row>
    <row r="180" spans="1:2" x14ac:dyDescent="0.25">
      <c r="A180">
        <v>180</v>
      </c>
      <c r="B180">
        <v>9</v>
      </c>
    </row>
    <row r="181" spans="1:2" x14ac:dyDescent="0.25">
      <c r="A181">
        <v>181</v>
      </c>
      <c r="B181">
        <v>9</v>
      </c>
    </row>
    <row r="182" spans="1:2" x14ac:dyDescent="0.25">
      <c r="A182">
        <v>182</v>
      </c>
      <c r="B182">
        <v>9</v>
      </c>
    </row>
    <row r="183" spans="1:2" x14ac:dyDescent="0.25">
      <c r="A183">
        <v>183</v>
      </c>
      <c r="B183">
        <v>9</v>
      </c>
    </row>
    <row r="184" spans="1:2" x14ac:dyDescent="0.25">
      <c r="A184">
        <v>184</v>
      </c>
      <c r="B184">
        <v>9</v>
      </c>
    </row>
    <row r="185" spans="1:2" x14ac:dyDescent="0.25">
      <c r="A185">
        <v>185</v>
      </c>
      <c r="B185">
        <v>9</v>
      </c>
    </row>
    <row r="186" spans="1:2" x14ac:dyDescent="0.25">
      <c r="A186">
        <v>186</v>
      </c>
      <c r="B186">
        <v>9</v>
      </c>
    </row>
    <row r="187" spans="1:2" x14ac:dyDescent="0.25">
      <c r="A187">
        <v>187</v>
      </c>
      <c r="B187">
        <v>9</v>
      </c>
    </row>
    <row r="188" spans="1:2" x14ac:dyDescent="0.25">
      <c r="A188">
        <v>188</v>
      </c>
      <c r="B188">
        <v>9</v>
      </c>
    </row>
    <row r="189" spans="1:2" x14ac:dyDescent="0.25">
      <c r="A189">
        <v>189</v>
      </c>
      <c r="B189">
        <v>9</v>
      </c>
    </row>
    <row r="190" spans="1:2" x14ac:dyDescent="0.25">
      <c r="A190">
        <v>190</v>
      </c>
      <c r="B190">
        <v>9</v>
      </c>
    </row>
    <row r="191" spans="1:2" x14ac:dyDescent="0.25">
      <c r="A191">
        <v>191</v>
      </c>
      <c r="B191">
        <v>9</v>
      </c>
    </row>
    <row r="192" spans="1:2" x14ac:dyDescent="0.25">
      <c r="A192">
        <v>192</v>
      </c>
      <c r="B192">
        <v>9</v>
      </c>
    </row>
    <row r="193" spans="1:2" x14ac:dyDescent="0.25">
      <c r="A193">
        <v>193</v>
      </c>
      <c r="B193">
        <v>9</v>
      </c>
    </row>
    <row r="194" spans="1:2" x14ac:dyDescent="0.25">
      <c r="A194">
        <v>194</v>
      </c>
      <c r="B194">
        <v>9</v>
      </c>
    </row>
    <row r="195" spans="1:2" x14ac:dyDescent="0.25">
      <c r="A195">
        <v>195</v>
      </c>
      <c r="B195">
        <v>9</v>
      </c>
    </row>
    <row r="196" spans="1:2" x14ac:dyDescent="0.25">
      <c r="A196">
        <v>196</v>
      </c>
      <c r="B196">
        <v>9</v>
      </c>
    </row>
    <row r="197" spans="1:2" x14ac:dyDescent="0.25">
      <c r="A197">
        <v>197</v>
      </c>
      <c r="B197">
        <v>9</v>
      </c>
    </row>
    <row r="198" spans="1:2" x14ac:dyDescent="0.25">
      <c r="A198">
        <v>198</v>
      </c>
      <c r="B198">
        <v>9</v>
      </c>
    </row>
    <row r="199" spans="1:2" x14ac:dyDescent="0.25">
      <c r="A199">
        <v>199</v>
      </c>
      <c r="B199">
        <v>9</v>
      </c>
    </row>
    <row r="200" spans="1:2" x14ac:dyDescent="0.25">
      <c r="A200">
        <v>200</v>
      </c>
      <c r="B200">
        <v>9</v>
      </c>
    </row>
    <row r="201" spans="1:2" x14ac:dyDescent="0.25">
      <c r="A201">
        <v>201</v>
      </c>
      <c r="B201" t="s">
        <v>4</v>
      </c>
    </row>
    <row r="202" spans="1:2" x14ac:dyDescent="0.25">
      <c r="A202">
        <v>202</v>
      </c>
      <c r="B202" t="s">
        <v>4</v>
      </c>
    </row>
    <row r="203" spans="1:2" x14ac:dyDescent="0.25">
      <c r="A203">
        <v>203</v>
      </c>
      <c r="B203" t="s">
        <v>4</v>
      </c>
    </row>
    <row r="204" spans="1:2" x14ac:dyDescent="0.25">
      <c r="A204">
        <v>204</v>
      </c>
      <c r="B204" t="s">
        <v>4</v>
      </c>
    </row>
    <row r="205" spans="1:2" x14ac:dyDescent="0.25">
      <c r="A205">
        <v>205</v>
      </c>
      <c r="B205" t="s">
        <v>4</v>
      </c>
    </row>
    <row r="206" spans="1:2" x14ac:dyDescent="0.25">
      <c r="A206">
        <v>206</v>
      </c>
      <c r="B206" t="s">
        <v>4</v>
      </c>
    </row>
    <row r="207" spans="1:2" x14ac:dyDescent="0.25">
      <c r="A207">
        <v>207</v>
      </c>
      <c r="B207" t="s">
        <v>4</v>
      </c>
    </row>
    <row r="208" spans="1:2" x14ac:dyDescent="0.25">
      <c r="A208">
        <v>208</v>
      </c>
      <c r="B208" t="s">
        <v>4</v>
      </c>
    </row>
    <row r="209" spans="1:2" x14ac:dyDescent="0.25">
      <c r="A209">
        <v>209</v>
      </c>
      <c r="B209" t="s">
        <v>4</v>
      </c>
    </row>
    <row r="210" spans="1:2" x14ac:dyDescent="0.25">
      <c r="A210">
        <v>210</v>
      </c>
      <c r="B210" t="s">
        <v>4</v>
      </c>
    </row>
    <row r="211" spans="1:2" x14ac:dyDescent="0.25">
      <c r="A211">
        <v>211</v>
      </c>
      <c r="B211" t="s">
        <v>4</v>
      </c>
    </row>
    <row r="212" spans="1:2" x14ac:dyDescent="0.25">
      <c r="A212">
        <v>212</v>
      </c>
      <c r="B212" t="s">
        <v>4</v>
      </c>
    </row>
    <row r="213" spans="1:2" x14ac:dyDescent="0.25">
      <c r="A213">
        <v>213</v>
      </c>
      <c r="B213" t="s">
        <v>4</v>
      </c>
    </row>
    <row r="214" spans="1:2" x14ac:dyDescent="0.25">
      <c r="A214">
        <v>214</v>
      </c>
      <c r="B214" t="s">
        <v>4</v>
      </c>
    </row>
    <row r="215" spans="1:2" x14ac:dyDescent="0.25">
      <c r="A215">
        <v>215</v>
      </c>
      <c r="B215" t="s">
        <v>4</v>
      </c>
    </row>
    <row r="216" spans="1:2" x14ac:dyDescent="0.25">
      <c r="A216">
        <v>216</v>
      </c>
      <c r="B216" t="s">
        <v>4</v>
      </c>
    </row>
    <row r="217" spans="1:2" x14ac:dyDescent="0.25">
      <c r="A217">
        <v>217</v>
      </c>
      <c r="B217" t="s">
        <v>4</v>
      </c>
    </row>
    <row r="218" spans="1:2" x14ac:dyDescent="0.25">
      <c r="A218">
        <v>218</v>
      </c>
      <c r="B218" t="s">
        <v>4</v>
      </c>
    </row>
    <row r="219" spans="1:2" x14ac:dyDescent="0.25">
      <c r="A219">
        <v>219</v>
      </c>
      <c r="B219" t="s">
        <v>4</v>
      </c>
    </row>
    <row r="220" spans="1:2" x14ac:dyDescent="0.25">
      <c r="A220">
        <v>220</v>
      </c>
      <c r="B220" t="s">
        <v>4</v>
      </c>
    </row>
    <row r="221" spans="1:2" x14ac:dyDescent="0.25">
      <c r="A221">
        <v>221</v>
      </c>
      <c r="B221" t="s">
        <v>4</v>
      </c>
    </row>
    <row r="222" spans="1:2" x14ac:dyDescent="0.25">
      <c r="A222">
        <v>222</v>
      </c>
      <c r="B222" t="s">
        <v>4</v>
      </c>
    </row>
    <row r="223" spans="1:2" x14ac:dyDescent="0.25">
      <c r="A223">
        <v>223</v>
      </c>
      <c r="B223" t="s">
        <v>4</v>
      </c>
    </row>
    <row r="224" spans="1:2" x14ac:dyDescent="0.25">
      <c r="A224">
        <v>224</v>
      </c>
      <c r="B224" t="s">
        <v>4</v>
      </c>
    </row>
    <row r="225" spans="1:2" x14ac:dyDescent="0.25">
      <c r="A225">
        <v>225</v>
      </c>
      <c r="B225" t="s">
        <v>4</v>
      </c>
    </row>
    <row r="226" spans="1:2" x14ac:dyDescent="0.25">
      <c r="A226">
        <v>226</v>
      </c>
      <c r="B226" t="s">
        <v>3</v>
      </c>
    </row>
    <row r="227" spans="1:2" x14ac:dyDescent="0.25">
      <c r="A227">
        <v>227</v>
      </c>
      <c r="B227" t="s">
        <v>3</v>
      </c>
    </row>
    <row r="228" spans="1:2" x14ac:dyDescent="0.25">
      <c r="A228">
        <v>228</v>
      </c>
      <c r="B228" t="s">
        <v>3</v>
      </c>
    </row>
    <row r="229" spans="1:2" x14ac:dyDescent="0.25">
      <c r="A229">
        <v>229</v>
      </c>
      <c r="B229" t="s">
        <v>3</v>
      </c>
    </row>
    <row r="230" spans="1:2" x14ac:dyDescent="0.25">
      <c r="A230">
        <v>230</v>
      </c>
      <c r="B230" t="s">
        <v>3</v>
      </c>
    </row>
    <row r="231" spans="1:2" x14ac:dyDescent="0.25">
      <c r="A231">
        <v>231</v>
      </c>
      <c r="B231" t="s">
        <v>3</v>
      </c>
    </row>
    <row r="232" spans="1:2" x14ac:dyDescent="0.25">
      <c r="A232">
        <v>232</v>
      </c>
      <c r="B232" t="s">
        <v>3</v>
      </c>
    </row>
    <row r="233" spans="1:2" x14ac:dyDescent="0.25">
      <c r="A233">
        <v>233</v>
      </c>
      <c r="B233" t="s">
        <v>3</v>
      </c>
    </row>
    <row r="234" spans="1:2" x14ac:dyDescent="0.25">
      <c r="A234">
        <v>234</v>
      </c>
      <c r="B234" t="s">
        <v>3</v>
      </c>
    </row>
    <row r="235" spans="1:2" x14ac:dyDescent="0.25">
      <c r="A235">
        <v>235</v>
      </c>
      <c r="B235" t="s">
        <v>3</v>
      </c>
    </row>
    <row r="236" spans="1:2" x14ac:dyDescent="0.25">
      <c r="A236">
        <v>236</v>
      </c>
      <c r="B236" t="s">
        <v>3</v>
      </c>
    </row>
    <row r="237" spans="1:2" x14ac:dyDescent="0.25">
      <c r="A237">
        <v>237</v>
      </c>
      <c r="B237" t="s">
        <v>3</v>
      </c>
    </row>
    <row r="238" spans="1:2" x14ac:dyDescent="0.25">
      <c r="A238">
        <v>238</v>
      </c>
      <c r="B238" t="s">
        <v>3</v>
      </c>
    </row>
    <row r="239" spans="1:2" x14ac:dyDescent="0.25">
      <c r="A239">
        <v>239</v>
      </c>
      <c r="B239" t="s">
        <v>3</v>
      </c>
    </row>
    <row r="240" spans="1:2" x14ac:dyDescent="0.25">
      <c r="A240">
        <v>240</v>
      </c>
      <c r="B240" t="s">
        <v>3</v>
      </c>
    </row>
    <row r="241" spans="1:2" x14ac:dyDescent="0.25">
      <c r="A241">
        <v>241</v>
      </c>
      <c r="B241" t="s">
        <v>3</v>
      </c>
    </row>
    <row r="242" spans="1:2" x14ac:dyDescent="0.25">
      <c r="A242">
        <v>242</v>
      </c>
      <c r="B242" t="s">
        <v>3</v>
      </c>
    </row>
    <row r="243" spans="1:2" x14ac:dyDescent="0.25">
      <c r="A243">
        <v>243</v>
      </c>
      <c r="B243" t="s">
        <v>3</v>
      </c>
    </row>
    <row r="244" spans="1:2" x14ac:dyDescent="0.25">
      <c r="A244">
        <v>244</v>
      </c>
      <c r="B244" t="s">
        <v>3</v>
      </c>
    </row>
    <row r="245" spans="1:2" x14ac:dyDescent="0.25">
      <c r="A245">
        <v>245</v>
      </c>
      <c r="B245" t="s">
        <v>3</v>
      </c>
    </row>
    <row r="246" spans="1:2" x14ac:dyDescent="0.25">
      <c r="A246">
        <v>246</v>
      </c>
      <c r="B246" t="s">
        <v>2</v>
      </c>
    </row>
    <row r="247" spans="1:2" x14ac:dyDescent="0.25">
      <c r="A247">
        <v>247</v>
      </c>
      <c r="B247" t="s">
        <v>2</v>
      </c>
    </row>
    <row r="248" spans="1:2" x14ac:dyDescent="0.25">
      <c r="A248">
        <v>248</v>
      </c>
      <c r="B248" t="s">
        <v>2</v>
      </c>
    </row>
    <row r="249" spans="1:2" x14ac:dyDescent="0.25">
      <c r="A249">
        <v>249</v>
      </c>
      <c r="B249" t="s">
        <v>2</v>
      </c>
    </row>
    <row r="250" spans="1:2" x14ac:dyDescent="0.25">
      <c r="A250">
        <v>250</v>
      </c>
      <c r="B250" t="s">
        <v>2</v>
      </c>
    </row>
    <row r="251" spans="1:2" x14ac:dyDescent="0.25">
      <c r="A251">
        <v>251</v>
      </c>
      <c r="B251" t="s">
        <v>2</v>
      </c>
    </row>
    <row r="252" spans="1:2" x14ac:dyDescent="0.25">
      <c r="A252">
        <v>252</v>
      </c>
      <c r="B252" t="s">
        <v>2</v>
      </c>
    </row>
    <row r="253" spans="1:2" x14ac:dyDescent="0.25">
      <c r="A253">
        <v>253</v>
      </c>
      <c r="B253" t="s">
        <v>2</v>
      </c>
    </row>
    <row r="254" spans="1:2" x14ac:dyDescent="0.25">
      <c r="A254">
        <v>254</v>
      </c>
      <c r="B254" t="s">
        <v>2</v>
      </c>
    </row>
    <row r="255" spans="1:2" x14ac:dyDescent="0.25">
      <c r="A255">
        <v>255</v>
      </c>
      <c r="B255" t="s">
        <v>2</v>
      </c>
    </row>
    <row r="256" spans="1:2" x14ac:dyDescent="0.25">
      <c r="A256">
        <v>256</v>
      </c>
      <c r="B256" t="s">
        <v>2</v>
      </c>
    </row>
    <row r="257" spans="1:2" x14ac:dyDescent="0.25">
      <c r="A257">
        <v>257</v>
      </c>
      <c r="B257" t="s">
        <v>2</v>
      </c>
    </row>
    <row r="258" spans="1:2" x14ac:dyDescent="0.25">
      <c r="A258">
        <v>258</v>
      </c>
      <c r="B258" t="s">
        <v>2</v>
      </c>
    </row>
    <row r="259" spans="1:2" x14ac:dyDescent="0.25">
      <c r="A259">
        <v>259</v>
      </c>
      <c r="B259" t="s">
        <v>2</v>
      </c>
    </row>
    <row r="260" spans="1:2" x14ac:dyDescent="0.25">
      <c r="A260">
        <v>260</v>
      </c>
      <c r="B260" t="s">
        <v>2</v>
      </c>
    </row>
    <row r="261" spans="1:2" x14ac:dyDescent="0.25">
      <c r="A261">
        <v>261</v>
      </c>
      <c r="B261" t="s">
        <v>1</v>
      </c>
    </row>
    <row r="262" spans="1:2" x14ac:dyDescent="0.25">
      <c r="A262">
        <v>262</v>
      </c>
      <c r="B262" t="s">
        <v>1</v>
      </c>
    </row>
    <row r="263" spans="1:2" x14ac:dyDescent="0.25">
      <c r="A263">
        <v>263</v>
      </c>
      <c r="B263" t="s">
        <v>1</v>
      </c>
    </row>
    <row r="264" spans="1:2" x14ac:dyDescent="0.25">
      <c r="A264">
        <v>264</v>
      </c>
      <c r="B264" t="s">
        <v>1</v>
      </c>
    </row>
    <row r="265" spans="1:2" x14ac:dyDescent="0.25">
      <c r="A265">
        <v>265</v>
      </c>
      <c r="B265" t="s">
        <v>1</v>
      </c>
    </row>
    <row r="266" spans="1:2" x14ac:dyDescent="0.25">
      <c r="A266">
        <v>266</v>
      </c>
      <c r="B266" t="s">
        <v>1</v>
      </c>
    </row>
    <row r="267" spans="1:2" x14ac:dyDescent="0.25">
      <c r="A267">
        <v>267</v>
      </c>
      <c r="B267" t="s">
        <v>1</v>
      </c>
    </row>
    <row r="268" spans="1:2" x14ac:dyDescent="0.25">
      <c r="A268">
        <v>268</v>
      </c>
      <c r="B268" t="s">
        <v>1</v>
      </c>
    </row>
    <row r="269" spans="1:2" x14ac:dyDescent="0.25">
      <c r="A269">
        <v>269</v>
      </c>
      <c r="B269" t="s">
        <v>1</v>
      </c>
    </row>
    <row r="270" spans="1:2" x14ac:dyDescent="0.25">
      <c r="A270">
        <v>270</v>
      </c>
      <c r="B270" t="s">
        <v>1</v>
      </c>
    </row>
    <row r="271" spans="1:2" x14ac:dyDescent="0.25">
      <c r="A271">
        <v>271</v>
      </c>
      <c r="B271" t="s">
        <v>0</v>
      </c>
    </row>
    <row r="272" spans="1:2" x14ac:dyDescent="0.25">
      <c r="A272">
        <v>272</v>
      </c>
      <c r="B272" t="s">
        <v>0</v>
      </c>
    </row>
    <row r="273" spans="1:2" x14ac:dyDescent="0.25">
      <c r="A273">
        <v>273</v>
      </c>
      <c r="B273" t="s">
        <v>0</v>
      </c>
    </row>
    <row r="274" spans="1:2" x14ac:dyDescent="0.25">
      <c r="A274">
        <v>274</v>
      </c>
      <c r="B274" t="s">
        <v>0</v>
      </c>
    </row>
    <row r="275" spans="1:2" x14ac:dyDescent="0.25">
      <c r="A275">
        <v>275</v>
      </c>
      <c r="B275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AJ76"/>
  <sheetViews>
    <sheetView workbookViewId="0">
      <selection activeCell="B2" sqref="B2"/>
    </sheetView>
  </sheetViews>
  <sheetFormatPr defaultRowHeight="15" x14ac:dyDescent="0.25"/>
  <cols>
    <col min="1" max="1" width="5.5703125" bestFit="1" customWidth="1"/>
    <col min="6" max="6" width="9.42578125" bestFit="1" customWidth="1"/>
    <col min="8" max="113" width="2.5703125" customWidth="1"/>
  </cols>
  <sheetData>
    <row r="1" spans="1:36" x14ac:dyDescent="0.25">
      <c r="A1" t="s">
        <v>5</v>
      </c>
      <c r="H1" s="22" t="s">
        <v>24</v>
      </c>
      <c r="I1" s="22"/>
      <c r="J1" s="22"/>
      <c r="K1" s="22"/>
      <c r="L1" s="22"/>
      <c r="N1" s="22" t="s">
        <v>25</v>
      </c>
      <c r="O1" s="22"/>
      <c r="P1" s="22"/>
      <c r="Q1" s="22"/>
      <c r="R1" s="22"/>
      <c r="T1" s="22" t="s">
        <v>31</v>
      </c>
      <c r="U1" s="22"/>
      <c r="V1" s="22"/>
      <c r="W1" s="22"/>
      <c r="X1" s="22"/>
      <c r="Z1" s="22" t="s">
        <v>32</v>
      </c>
      <c r="AA1" s="22"/>
      <c r="AB1" s="22"/>
      <c r="AC1" s="22"/>
      <c r="AD1" s="22"/>
      <c r="AF1" s="22" t="s">
        <v>33</v>
      </c>
      <c r="AG1" s="22"/>
      <c r="AH1" s="22"/>
      <c r="AI1" s="22"/>
      <c r="AJ1" s="22"/>
    </row>
    <row r="2" spans="1:36" x14ac:dyDescent="0.25">
      <c r="A2">
        <v>1</v>
      </c>
      <c r="B2" t="str">
        <f>IF(A2&lt;Slot!$B$6+1,CONCATENATE(Slot!A1,Slot!B1,Slot!C1,Slot!D1,Slot!E1),"")</f>
        <v>68778</v>
      </c>
      <c r="C2" t="str">
        <f>IF(ISERROR(VLOOKUP(B2,premi!$A$1:$A$30,1,0)),"",VLOOKUP(B2,premi!$A$1:$A$30,1,0))</f>
        <v/>
      </c>
      <c r="D2" t="s">
        <v>64</v>
      </c>
      <c r="E2" t="str">
        <f>IF(C2="","",D2)</f>
        <v/>
      </c>
      <c r="F2" t="str">
        <f>IF(E2="","",B2)</f>
        <v/>
      </c>
      <c r="H2" s="5"/>
      <c r="I2" s="5"/>
      <c r="J2" s="5"/>
      <c r="K2" s="5"/>
      <c r="L2" s="5"/>
      <c r="N2" s="1"/>
      <c r="O2" s="1"/>
      <c r="P2" s="1"/>
      <c r="Q2" s="1"/>
      <c r="R2" s="1"/>
      <c r="T2" s="1"/>
      <c r="U2" s="1"/>
      <c r="V2" s="1"/>
      <c r="W2" s="1"/>
      <c r="X2" s="1"/>
      <c r="Z2" s="1"/>
      <c r="AA2" s="1"/>
      <c r="AB2" s="1"/>
      <c r="AC2" s="1"/>
      <c r="AD2" s="1"/>
      <c r="AF2" s="1"/>
      <c r="AG2" s="1"/>
      <c r="AH2" s="1"/>
      <c r="AI2" s="1"/>
      <c r="AJ2" s="1"/>
    </row>
    <row r="3" spans="1:36" x14ac:dyDescent="0.25">
      <c r="A3">
        <v>2</v>
      </c>
      <c r="B3" t="str">
        <f>IF(A3&lt;Slot!$B$6+1,CONCATENATE(Slot!A2,Slot!B2,Slot!C2,Slot!D2,Slot!E2),"")</f>
        <v>6J6T9</v>
      </c>
      <c r="C3" t="str">
        <f>IF(ISERROR(VLOOKUP(B3,premi!$A$1:$A$30,1,0)),"",VLOOKUP(B3,premi!$A$1:$A$30,1,0))</f>
        <v/>
      </c>
      <c r="D3" t="s">
        <v>65</v>
      </c>
      <c r="E3" t="str">
        <f t="shared" ref="E3:E66" si="0">IF(C3="","",D3)</f>
        <v/>
      </c>
      <c r="F3" t="str">
        <f t="shared" ref="F3:F66" si="1">IF(E3="","",B3)</f>
        <v/>
      </c>
      <c r="H3" s="1"/>
      <c r="I3" s="1"/>
      <c r="J3" s="1"/>
      <c r="K3" s="1"/>
      <c r="L3" s="1"/>
      <c r="N3" s="6"/>
      <c r="O3" s="6"/>
      <c r="P3" s="6"/>
      <c r="Q3" s="6"/>
      <c r="R3" s="6"/>
      <c r="T3" s="1"/>
      <c r="U3" s="1"/>
      <c r="V3" s="1"/>
      <c r="W3" s="1"/>
      <c r="X3" s="1"/>
      <c r="Z3" s="1"/>
      <c r="AA3" s="1"/>
      <c r="AB3" s="1"/>
      <c r="AC3" s="1"/>
      <c r="AD3" s="1"/>
      <c r="AF3" s="1"/>
      <c r="AG3" s="1"/>
      <c r="AH3" s="1"/>
      <c r="AI3" s="1"/>
      <c r="AJ3" s="1"/>
    </row>
    <row r="4" spans="1:36" x14ac:dyDescent="0.25">
      <c r="A4">
        <v>3</v>
      </c>
      <c r="B4" t="str">
        <f>IF(A4&lt;Slot!$B$6+1,CONCATENATE(Slot!A3,Slot!B3,Slot!C3,Slot!D3,Slot!E3),"")</f>
        <v>65JT8</v>
      </c>
      <c r="C4" t="str">
        <f>IF(ISERROR(VLOOKUP(B4,premi!$A$1:$A$30,1,0)),"",VLOOKUP(B4,premi!$A$1:$A$30,1,0))</f>
        <v/>
      </c>
      <c r="D4" t="s">
        <v>66</v>
      </c>
      <c r="E4" t="str">
        <f t="shared" si="0"/>
        <v/>
      </c>
      <c r="F4" t="str">
        <f t="shared" si="1"/>
        <v/>
      </c>
      <c r="H4" s="1"/>
      <c r="I4" s="1"/>
      <c r="J4" s="1"/>
      <c r="K4" s="1"/>
      <c r="L4" s="1"/>
      <c r="N4" s="1"/>
      <c r="O4" s="1"/>
      <c r="P4" s="1"/>
      <c r="Q4" s="1"/>
      <c r="R4" s="1"/>
      <c r="T4" s="6"/>
      <c r="U4" s="6"/>
      <c r="V4" s="6"/>
      <c r="W4" s="6"/>
      <c r="X4" s="6"/>
      <c r="Z4" s="1"/>
      <c r="AA4" s="1"/>
      <c r="AB4" s="1"/>
      <c r="AC4" s="1"/>
      <c r="AD4" s="1"/>
      <c r="AF4" s="1"/>
      <c r="AG4" s="1"/>
      <c r="AH4" s="1"/>
      <c r="AI4" s="1"/>
      <c r="AJ4" s="1"/>
    </row>
    <row r="5" spans="1:36" x14ac:dyDescent="0.25">
      <c r="A5">
        <v>4</v>
      </c>
      <c r="B5" t="str">
        <f>IF(A5&lt;Slot!$B$6+1,CONCATENATE(Slot!A4,Slot!B4,Slot!C4,Slot!D4,Slot!E4),"")</f>
        <v>56685</v>
      </c>
      <c r="C5" t="str">
        <f>IF(ISERROR(VLOOKUP(B5,premi!$A$1:$A$30,1,0)),"",VLOOKUP(B5,premi!$A$1:$A$30,1,0))</f>
        <v/>
      </c>
      <c r="D5" t="s">
        <v>67</v>
      </c>
      <c r="E5" t="str">
        <f t="shared" si="0"/>
        <v/>
      </c>
      <c r="F5" t="str">
        <f t="shared" si="1"/>
        <v/>
      </c>
      <c r="H5" s="1"/>
      <c r="I5" s="1"/>
      <c r="J5" s="1"/>
      <c r="K5" s="1"/>
      <c r="L5" s="1"/>
      <c r="N5" s="1"/>
      <c r="O5" s="1"/>
      <c r="P5" s="1"/>
      <c r="Q5" s="1"/>
      <c r="R5" s="1"/>
      <c r="T5" s="1"/>
      <c r="U5" s="1"/>
      <c r="V5" s="1"/>
      <c r="W5" s="1"/>
      <c r="X5" s="1"/>
      <c r="Z5" s="6"/>
      <c r="AA5" s="6"/>
      <c r="AB5" s="6"/>
      <c r="AC5" s="6"/>
      <c r="AD5" s="6"/>
      <c r="AF5" s="1"/>
      <c r="AG5" s="1"/>
      <c r="AH5" s="1"/>
      <c r="AI5" s="1"/>
      <c r="AJ5" s="1"/>
    </row>
    <row r="6" spans="1:36" x14ac:dyDescent="0.25">
      <c r="A6">
        <v>5</v>
      </c>
      <c r="B6" t="str">
        <f>IF(A6&lt;Slot!$B$6+1,CONCATENATE(Slot!A5,Slot!B5,Slot!C5,Slot!D5,Slot!E5),"")</f>
        <v>89K7J</v>
      </c>
      <c r="C6" t="str">
        <f>IF(ISERROR(VLOOKUP(B6,premi!$A$1:$A$30,1,0)),"",VLOOKUP(B6,premi!$A$1:$A$30,1,0))</f>
        <v/>
      </c>
      <c r="D6" t="s">
        <v>68</v>
      </c>
      <c r="E6" t="str">
        <f t="shared" si="0"/>
        <v/>
      </c>
      <c r="F6" t="str">
        <f t="shared" si="1"/>
        <v/>
      </c>
      <c r="H6" s="1"/>
      <c r="I6" s="1"/>
      <c r="J6" s="1"/>
      <c r="K6" s="1"/>
      <c r="L6" s="1"/>
      <c r="N6" s="1"/>
      <c r="O6" s="1"/>
      <c r="P6" s="1"/>
      <c r="Q6" s="1"/>
      <c r="R6" s="1"/>
      <c r="T6" s="1"/>
      <c r="U6" s="1"/>
      <c r="V6" s="1"/>
      <c r="W6" s="1"/>
      <c r="X6" s="1"/>
      <c r="Z6" s="1"/>
      <c r="AA6" s="1"/>
      <c r="AB6" s="1"/>
      <c r="AC6" s="1"/>
      <c r="AD6" s="1"/>
      <c r="AF6" s="6"/>
      <c r="AG6" s="6"/>
      <c r="AH6" s="6"/>
      <c r="AI6" s="6"/>
      <c r="AJ6" s="6"/>
    </row>
    <row r="7" spans="1:36" x14ac:dyDescent="0.25">
      <c r="A7">
        <v>6</v>
      </c>
      <c r="B7" t="str">
        <f>IF(A7&lt;Slot!$B$6+1,CONCATENATE(Slot!A1,Slot!B2,Slot!C3,Slot!D4,Slot!E5),"")</f>
        <v>6JJ8J</v>
      </c>
      <c r="C7" t="str">
        <f>IF(ISERROR(VLOOKUP(B7,premi!$A$1:$A$30,1,0)),"",VLOOKUP(B7,premi!$A$1:$A$30,1,0))</f>
        <v/>
      </c>
      <c r="D7" t="s">
        <v>69</v>
      </c>
      <c r="E7" t="str">
        <f t="shared" si="0"/>
        <v/>
      </c>
      <c r="F7" t="str">
        <f t="shared" si="1"/>
        <v/>
      </c>
    </row>
    <row r="8" spans="1:36" x14ac:dyDescent="0.25">
      <c r="A8">
        <v>7</v>
      </c>
      <c r="B8" t="str">
        <f>IF(A8&lt;Slot!$B$6+1,CONCATENATE(Slot!A5,Slot!B4,Slot!C3,Slot!D2,Slot!E1),"")</f>
        <v>86JT8</v>
      </c>
      <c r="C8" t="str">
        <f>IF(ISERROR(VLOOKUP(B8,premi!$A$1:$A$30,1,0)),"",VLOOKUP(B8,premi!$A$1:$A$30,1,0))</f>
        <v/>
      </c>
      <c r="D8" t="s">
        <v>70</v>
      </c>
      <c r="E8" t="str">
        <f t="shared" si="0"/>
        <v/>
      </c>
      <c r="F8" t="str">
        <f t="shared" si="1"/>
        <v/>
      </c>
      <c r="H8" s="22" t="s">
        <v>26</v>
      </c>
      <c r="I8" s="22"/>
      <c r="J8" s="22"/>
      <c r="K8" s="22"/>
      <c r="L8" s="22"/>
      <c r="N8" s="22" t="s">
        <v>27</v>
      </c>
      <c r="O8" s="22"/>
      <c r="P8" s="22"/>
      <c r="Q8" s="22"/>
      <c r="R8" s="22"/>
      <c r="T8" s="22" t="s">
        <v>28</v>
      </c>
      <c r="U8" s="22"/>
      <c r="V8" s="22"/>
      <c r="W8" s="22"/>
      <c r="X8" s="22"/>
      <c r="Z8" s="22" t="s">
        <v>29</v>
      </c>
      <c r="AA8" s="22"/>
      <c r="AB8" s="22"/>
      <c r="AC8" s="22"/>
      <c r="AD8" s="22"/>
      <c r="AF8" s="22" t="s">
        <v>30</v>
      </c>
      <c r="AG8" s="22"/>
      <c r="AH8" s="22"/>
      <c r="AI8" s="22"/>
      <c r="AJ8" s="22"/>
    </row>
    <row r="9" spans="1:36" x14ac:dyDescent="0.25">
      <c r="A9">
        <v>8</v>
      </c>
      <c r="B9" t="str">
        <f>IF(A9&lt;Slot!$B$6+1,CONCATENATE(Slot!A1,Slot!B5,Slot!C1,Slot!D5,Slot!E1),"")</f>
        <v>69778</v>
      </c>
      <c r="C9" t="str">
        <f>IF(ISERROR(VLOOKUP(B9,premi!$A$1:$A$30,1,0)),"",VLOOKUP(B9,premi!$A$1:$A$30,1,0))</f>
        <v/>
      </c>
      <c r="D9" t="s">
        <v>71</v>
      </c>
      <c r="E9" t="str">
        <f t="shared" si="0"/>
        <v/>
      </c>
      <c r="F9" t="str">
        <f t="shared" si="1"/>
        <v/>
      </c>
      <c r="H9" s="6"/>
      <c r="I9" s="1"/>
      <c r="J9" s="1"/>
      <c r="K9" s="1"/>
      <c r="L9" s="1"/>
      <c r="N9" s="1"/>
      <c r="O9" s="1"/>
      <c r="P9" s="1"/>
      <c r="Q9" s="1"/>
      <c r="R9" s="6"/>
      <c r="T9" s="6"/>
      <c r="U9" s="1"/>
      <c r="V9" s="6"/>
      <c r="W9" s="1"/>
      <c r="X9" s="6"/>
      <c r="Z9" s="1"/>
      <c r="AA9" s="6"/>
      <c r="AB9" s="1"/>
      <c r="AC9" s="6"/>
      <c r="AD9" s="1"/>
      <c r="AF9" s="6"/>
      <c r="AG9" s="6"/>
      <c r="AH9" s="1"/>
      <c r="AI9" s="6"/>
      <c r="AJ9" s="6"/>
    </row>
    <row r="10" spans="1:36" x14ac:dyDescent="0.25">
      <c r="A10">
        <v>9</v>
      </c>
      <c r="B10" t="str">
        <f>IF(A10&lt;Slot!$B$6+1,CONCATENATE(Slot!A5,Slot!B1,Slot!C5,Slot!D1,Slot!E5),"")</f>
        <v>88K7J</v>
      </c>
      <c r="C10" t="str">
        <f>IF(ISERROR(VLOOKUP(B10,premi!$A$1:$A$30,1,0)),"",VLOOKUP(B10,premi!$A$1:$A$30,1,0))</f>
        <v/>
      </c>
      <c r="D10" t="s">
        <v>72</v>
      </c>
      <c r="E10" t="str">
        <f t="shared" si="0"/>
        <v/>
      </c>
      <c r="F10" t="str">
        <f t="shared" si="1"/>
        <v/>
      </c>
      <c r="H10" s="1"/>
      <c r="I10" s="6"/>
      <c r="J10" s="1"/>
      <c r="K10" s="1"/>
      <c r="L10" s="1"/>
      <c r="N10" s="1"/>
      <c r="O10" s="1"/>
      <c r="P10" s="1"/>
      <c r="Q10" s="6"/>
      <c r="R10" s="1"/>
      <c r="T10" s="1"/>
      <c r="U10" s="1"/>
      <c r="V10" s="1"/>
      <c r="W10" s="1"/>
      <c r="X10" s="1"/>
      <c r="Z10" s="1"/>
      <c r="AA10" s="1"/>
      <c r="AB10" s="1"/>
      <c r="AC10" s="1"/>
      <c r="AD10" s="1"/>
      <c r="AF10" s="1"/>
      <c r="AG10" s="1"/>
      <c r="AH10" s="1"/>
      <c r="AI10" s="1"/>
      <c r="AJ10" s="1"/>
    </row>
    <row r="11" spans="1:36" x14ac:dyDescent="0.25">
      <c r="A11">
        <v>10</v>
      </c>
      <c r="B11" t="str">
        <f>IF(A11&lt;Slot!$B$6+1,CONCATENATE(Slot!A1,Slot!B1,Slot!C5,Slot!D1,Slot!E1),"")</f>
        <v>68K78</v>
      </c>
      <c r="C11" t="str">
        <f>IF(ISERROR(VLOOKUP(B11,premi!$A$1:$A$30,1,0)),"",VLOOKUP(B11,premi!$A$1:$A$30,1,0))</f>
        <v/>
      </c>
      <c r="D11" t="s">
        <v>73</v>
      </c>
      <c r="E11" t="str">
        <f t="shared" si="0"/>
        <v/>
      </c>
      <c r="F11" t="str">
        <f t="shared" si="1"/>
        <v/>
      </c>
      <c r="H11" s="1"/>
      <c r="I11" s="1"/>
      <c r="J11" s="6"/>
      <c r="K11" s="1"/>
      <c r="L11" s="1"/>
      <c r="N11" s="1"/>
      <c r="O11" s="1"/>
      <c r="P11" s="6"/>
      <c r="Q11" s="1"/>
      <c r="R11" s="1"/>
      <c r="T11" s="1"/>
      <c r="U11" s="1"/>
      <c r="V11" s="1"/>
      <c r="W11" s="1"/>
      <c r="X11" s="1"/>
      <c r="Z11" s="1"/>
      <c r="AA11" s="1"/>
      <c r="AB11" s="1"/>
      <c r="AC11" s="1"/>
      <c r="AD11" s="1"/>
      <c r="AF11" s="1"/>
      <c r="AG11" s="1"/>
      <c r="AH11" s="1"/>
      <c r="AI11" s="1"/>
      <c r="AJ11" s="1"/>
    </row>
    <row r="12" spans="1:36" x14ac:dyDescent="0.25">
      <c r="A12">
        <v>11</v>
      </c>
      <c r="B12" t="str">
        <f>IF(A12&lt;Slot!$B$6+1,CONCATENATE(Slot!A5,Slot!B5,Slot!C1,Slot!D5,Slot!E5),"")</f>
        <v>8977J</v>
      </c>
      <c r="C12" t="str">
        <f>IF(ISERROR(VLOOKUP(B12,premi!$A$1:$A$30,1,0)),"",VLOOKUP(B12,premi!$A$1:$A$30,1,0))</f>
        <v/>
      </c>
      <c r="D12" t="s">
        <v>74</v>
      </c>
      <c r="E12" t="str">
        <f t="shared" si="0"/>
        <v/>
      </c>
      <c r="F12" t="str">
        <f t="shared" si="1"/>
        <v/>
      </c>
      <c r="H12" s="1"/>
      <c r="I12" s="1"/>
      <c r="J12" s="1"/>
      <c r="K12" s="6"/>
      <c r="L12" s="1"/>
      <c r="N12" s="1"/>
      <c r="O12" s="6"/>
      <c r="P12" s="1"/>
      <c r="Q12" s="1"/>
      <c r="R12" s="1"/>
      <c r="T12" s="1"/>
      <c r="U12" s="1"/>
      <c r="V12" s="1"/>
      <c r="W12" s="1"/>
      <c r="X12" s="1"/>
      <c r="Z12" s="1"/>
      <c r="AA12" s="1"/>
      <c r="AB12" s="1"/>
      <c r="AC12" s="1"/>
      <c r="AD12" s="1"/>
      <c r="AF12" s="1"/>
      <c r="AG12" s="1"/>
      <c r="AH12" s="1"/>
      <c r="AI12" s="1"/>
      <c r="AJ12" s="1"/>
    </row>
    <row r="13" spans="1:36" x14ac:dyDescent="0.25">
      <c r="A13">
        <v>12</v>
      </c>
      <c r="B13" t="str">
        <f>IF(A13&lt;Slot!$B$6+1,CONCATENATE(Slot!A1,Slot!B1,Slot!C3,Slot!D5,Slot!E5),"")</f>
        <v>68J7J</v>
      </c>
      <c r="C13" t="str">
        <f>IF(ISERROR(VLOOKUP(B13,premi!$A$1:$A$30,1,0)),"",VLOOKUP(B13,premi!$A$1:$A$30,1,0))</f>
        <v/>
      </c>
      <c r="D13" t="s">
        <v>75</v>
      </c>
      <c r="E13" t="str">
        <f t="shared" si="0"/>
        <v/>
      </c>
      <c r="F13" t="str">
        <f t="shared" si="1"/>
        <v/>
      </c>
      <c r="H13" s="1"/>
      <c r="I13" s="1"/>
      <c r="J13" s="1"/>
      <c r="K13" s="1"/>
      <c r="L13" s="6"/>
      <c r="N13" s="6"/>
      <c r="O13" s="1"/>
      <c r="P13" s="1"/>
      <c r="Q13" s="1"/>
      <c r="R13" s="1"/>
      <c r="T13" s="1"/>
      <c r="U13" s="6"/>
      <c r="V13" s="1"/>
      <c r="W13" s="6"/>
      <c r="X13" s="1"/>
      <c r="Z13" s="6"/>
      <c r="AA13" s="1"/>
      <c r="AB13" s="6"/>
      <c r="AC13" s="1"/>
      <c r="AD13" s="6"/>
      <c r="AF13" s="1"/>
      <c r="AG13" s="1"/>
      <c r="AH13" s="6"/>
      <c r="AI13" s="1"/>
      <c r="AJ13" s="1"/>
    </row>
    <row r="14" spans="1:36" x14ac:dyDescent="0.25">
      <c r="A14">
        <v>13</v>
      </c>
      <c r="B14" t="str">
        <f>IF(A14&lt;Slot!$B$6+1,CONCATENATE(Slot!A5,Slot!B5,Slot!C3,Slot!D1,Slot!E1),"")</f>
        <v>89J78</v>
      </c>
      <c r="C14" t="str">
        <f>IF(ISERROR(VLOOKUP(B14,premi!$A$1:$A$30,1,0)),"",VLOOKUP(B14,premi!$A$1:$A$30,1,0))</f>
        <v/>
      </c>
      <c r="D14" t="s">
        <v>76</v>
      </c>
      <c r="E14" t="str">
        <f t="shared" si="0"/>
        <v/>
      </c>
      <c r="F14" t="str">
        <f t="shared" si="1"/>
        <v/>
      </c>
    </row>
    <row r="15" spans="1:36" x14ac:dyDescent="0.25">
      <c r="A15">
        <v>14</v>
      </c>
      <c r="B15" t="str">
        <f>IF(A15&lt;Slot!$B$6+1,CONCATENATE(Slot!A1,Slot!B5,Slot!C3,Slot!D1,Slot!E3),"")</f>
        <v>69J78</v>
      </c>
      <c r="C15" t="str">
        <f>IF(ISERROR(VLOOKUP(B15,premi!$A$1:$A$30,1,0)),"",VLOOKUP(B15,premi!$A$1:$A$30,1,0))</f>
        <v/>
      </c>
      <c r="D15" t="s">
        <v>77</v>
      </c>
      <c r="E15" t="str">
        <f t="shared" si="0"/>
        <v/>
      </c>
      <c r="F15" t="str">
        <f t="shared" si="1"/>
        <v/>
      </c>
      <c r="H15" s="22" t="s">
        <v>34</v>
      </c>
      <c r="I15" s="22"/>
      <c r="J15" s="22"/>
      <c r="K15" s="22"/>
      <c r="L15" s="22"/>
      <c r="N15" s="22" t="s">
        <v>35</v>
      </c>
      <c r="O15" s="22"/>
      <c r="P15" s="22"/>
      <c r="Q15" s="22"/>
      <c r="R15" s="22"/>
      <c r="T15" s="22" t="s">
        <v>36</v>
      </c>
      <c r="U15" s="22"/>
      <c r="V15" s="22"/>
      <c r="W15" s="22"/>
      <c r="X15" s="22"/>
      <c r="Z15" s="22" t="s">
        <v>37</v>
      </c>
      <c r="AA15" s="22"/>
      <c r="AB15" s="22"/>
      <c r="AC15" s="22"/>
      <c r="AD15" s="22"/>
      <c r="AF15" s="22" t="s">
        <v>38</v>
      </c>
      <c r="AG15" s="22"/>
      <c r="AH15" s="22"/>
      <c r="AI15" s="22"/>
      <c r="AJ15" s="22"/>
    </row>
    <row r="16" spans="1:36" x14ac:dyDescent="0.25">
      <c r="A16">
        <v>15</v>
      </c>
      <c r="B16" t="str">
        <f>IF(A16&lt;Slot!$B$6+1,CONCATENATE(Slot!A5,Slot!B1,Slot!C3,Slot!D5,Slot!E3),"")</f>
        <v>88J78</v>
      </c>
      <c r="C16" t="str">
        <f>IF(ISERROR(VLOOKUP(B16,premi!$A$1:$A$30,1,0)),"",VLOOKUP(B16,premi!$A$1:$A$30,1,0))</f>
        <v/>
      </c>
      <c r="D16" t="s">
        <v>78</v>
      </c>
      <c r="E16" t="str">
        <f t="shared" si="0"/>
        <v/>
      </c>
      <c r="F16" t="str">
        <f t="shared" si="1"/>
        <v/>
      </c>
      <c r="H16" s="1"/>
      <c r="I16" s="1"/>
      <c r="J16" s="6"/>
      <c r="K16" s="1"/>
      <c r="L16" s="1"/>
      <c r="N16" s="6"/>
      <c r="O16" s="6"/>
      <c r="P16" s="1"/>
      <c r="Q16" s="1"/>
      <c r="R16" s="1"/>
      <c r="T16" s="1"/>
      <c r="U16" s="1"/>
      <c r="V16" s="1"/>
      <c r="W16" s="6"/>
      <c r="X16" s="6"/>
      <c r="Z16" s="6"/>
      <c r="AA16" s="1"/>
      <c r="AB16" s="1"/>
      <c r="AC16" s="6"/>
      <c r="AD16" s="1"/>
      <c r="AF16" s="1"/>
      <c r="AG16" s="6"/>
      <c r="AH16" s="1"/>
      <c r="AI16" s="1"/>
      <c r="AJ16" s="1"/>
    </row>
    <row r="17" spans="1:36" x14ac:dyDescent="0.25">
      <c r="A17">
        <v>16</v>
      </c>
      <c r="B17" t="str">
        <f>IF(A17&lt;Slot!$B$6+1,CONCATENATE(Slot!A2,Slot!B5,Slot!C1,Slot!D5,Slot!E2),"")</f>
        <v>69779</v>
      </c>
      <c r="C17" t="str">
        <f>IF(ISERROR(VLOOKUP(B17,premi!$A$1:$A$30,1,0)),"",VLOOKUP(B17,premi!$A$1:$A$30,1,0))</f>
        <v/>
      </c>
      <c r="D17" t="s">
        <v>79</v>
      </c>
      <c r="E17" t="str">
        <f t="shared" si="0"/>
        <v/>
      </c>
      <c r="F17" t="str">
        <f t="shared" si="1"/>
        <v/>
      </c>
      <c r="H17" s="1"/>
      <c r="I17" s="1"/>
      <c r="J17" s="1"/>
      <c r="K17" s="1"/>
      <c r="L17" s="1"/>
      <c r="N17" s="1"/>
      <c r="O17" s="1"/>
      <c r="P17" s="1"/>
      <c r="Q17" s="1"/>
      <c r="R17" s="1"/>
      <c r="T17" s="1"/>
      <c r="U17" s="1"/>
      <c r="V17" s="1"/>
      <c r="W17" s="1"/>
      <c r="X17" s="1"/>
      <c r="Z17" s="1"/>
      <c r="AA17" s="1"/>
      <c r="AB17" s="1"/>
      <c r="AC17" s="1"/>
      <c r="AD17" s="1"/>
      <c r="AF17" s="1"/>
      <c r="AG17" s="1"/>
      <c r="AH17" s="1"/>
      <c r="AI17" s="1"/>
      <c r="AJ17" s="1"/>
    </row>
    <row r="18" spans="1:36" x14ac:dyDescent="0.25">
      <c r="A18">
        <v>17</v>
      </c>
      <c r="B18" t="str">
        <f>IF(A18&lt;Slot!$B$6+1,CONCATENATE(Slot!A4,Slot!B1,Slot!C5,Slot!D1,Slot!E4),"")</f>
        <v>58K75</v>
      </c>
      <c r="C18" t="str">
        <f>IF(ISERROR(VLOOKUP(B18,premi!$A$1:$A$30,1,0)),"",VLOOKUP(B18,premi!$A$1:$A$30,1,0))</f>
        <v/>
      </c>
      <c r="D18" t="s">
        <v>80</v>
      </c>
      <c r="E18" t="str">
        <f t="shared" si="0"/>
        <v/>
      </c>
      <c r="F18" t="str">
        <f t="shared" si="1"/>
        <v/>
      </c>
      <c r="H18" s="1"/>
      <c r="I18" s="1"/>
      <c r="J18" s="1"/>
      <c r="K18" s="1"/>
      <c r="L18" s="1"/>
      <c r="N18" s="1"/>
      <c r="O18" s="1"/>
      <c r="P18" s="6"/>
      <c r="Q18" s="1"/>
      <c r="R18" s="1"/>
      <c r="T18" s="1"/>
      <c r="U18" s="1"/>
      <c r="V18" s="6"/>
      <c r="W18" s="1"/>
      <c r="X18" s="1"/>
      <c r="Z18" s="1"/>
      <c r="AA18" s="1"/>
      <c r="AB18" s="6"/>
      <c r="AC18" s="1"/>
      <c r="AD18" s="6"/>
      <c r="AF18" s="1"/>
      <c r="AG18" s="1"/>
      <c r="AH18" s="6"/>
      <c r="AI18" s="1"/>
      <c r="AJ18" s="6"/>
    </row>
    <row r="19" spans="1:36" x14ac:dyDescent="0.25">
      <c r="A19">
        <v>18</v>
      </c>
      <c r="B19" t="str">
        <f>IF(A19&lt;Slot!$B$6+1,CONCATENATE(Slot!A2,Slot!B1,Slot!C2,Slot!D3,Slot!E2),"")</f>
        <v>686T9</v>
      </c>
      <c r="C19" t="str">
        <f>IF(ISERROR(VLOOKUP(B19,premi!$A$1:$A$30,1,0)),"",VLOOKUP(B19,premi!$A$1:$A$30,1,0))</f>
        <v/>
      </c>
      <c r="D19" t="s">
        <v>81</v>
      </c>
      <c r="E19" t="str">
        <f t="shared" si="0"/>
        <v/>
      </c>
      <c r="F19" t="str">
        <f t="shared" si="1"/>
        <v/>
      </c>
      <c r="H19" s="1"/>
      <c r="I19" s="1"/>
      <c r="J19" s="1"/>
      <c r="K19" s="1"/>
      <c r="L19" s="1"/>
      <c r="N19" s="1"/>
      <c r="O19" s="1"/>
      <c r="P19" s="1"/>
      <c r="Q19" s="1"/>
      <c r="R19" s="1"/>
      <c r="T19" s="1"/>
      <c r="U19" s="1"/>
      <c r="V19" s="1"/>
      <c r="W19" s="1"/>
      <c r="X19" s="1"/>
      <c r="Z19" s="1"/>
      <c r="AA19" s="1"/>
      <c r="AB19" s="1"/>
      <c r="AC19" s="1"/>
      <c r="AD19" s="1"/>
      <c r="AF19" s="1"/>
      <c r="AG19" s="1"/>
      <c r="AH19" s="1"/>
      <c r="AI19" s="1"/>
      <c r="AJ19" s="1"/>
    </row>
    <row r="20" spans="1:36" x14ac:dyDescent="0.25">
      <c r="A20">
        <v>19</v>
      </c>
      <c r="B20" t="str">
        <f>IF(A20&lt;Slot!$B$6+1,CONCATENATE(Slot!A4,Slot!B5,Slot!C4,Slot!D3,Slot!E4),"")</f>
        <v>596T5</v>
      </c>
      <c r="C20" t="str">
        <f>IF(ISERROR(VLOOKUP(B20,premi!$A$1:$A$30,1,0)),"",VLOOKUP(B20,premi!$A$1:$A$30,1,0))</f>
        <v/>
      </c>
      <c r="D20" t="s">
        <v>82</v>
      </c>
      <c r="E20" t="str">
        <f t="shared" si="0"/>
        <v/>
      </c>
      <c r="F20" t="str">
        <f t="shared" si="1"/>
        <v/>
      </c>
      <c r="H20" s="6"/>
      <c r="I20" s="6"/>
      <c r="J20" s="1"/>
      <c r="K20" s="6"/>
      <c r="L20" s="6"/>
      <c r="N20" s="1"/>
      <c r="O20" s="1"/>
      <c r="P20" s="1"/>
      <c r="Q20" s="6"/>
      <c r="R20" s="6"/>
      <c r="T20" s="6"/>
      <c r="U20" s="6"/>
      <c r="V20" s="1"/>
      <c r="W20" s="1"/>
      <c r="X20" s="1"/>
      <c r="Z20" s="1"/>
      <c r="AA20" s="6"/>
      <c r="AB20" s="1"/>
      <c r="AC20" s="1"/>
      <c r="AD20" s="1"/>
      <c r="AF20" s="6"/>
      <c r="AG20" s="1"/>
      <c r="AH20" s="1"/>
      <c r="AI20" s="6"/>
      <c r="AJ20" s="1"/>
    </row>
    <row r="21" spans="1:36" x14ac:dyDescent="0.25">
      <c r="A21">
        <v>20</v>
      </c>
      <c r="B21" t="str">
        <f>IF(A21&lt;Slot!$B$6+1,CONCATENATE(Slot!A3,Slot!B2,Slot!C4,Slot!D2,Slot!E3),"")</f>
        <v>6J6T8</v>
      </c>
      <c r="C21" t="str">
        <f>IF(ISERROR(VLOOKUP(B21,premi!$A$1:$A$30,1,0)),"",VLOOKUP(B21,premi!$A$1:$A$30,1,0))</f>
        <v/>
      </c>
      <c r="D21" t="s">
        <v>83</v>
      </c>
      <c r="E21" t="str">
        <f t="shared" si="0"/>
        <v/>
      </c>
      <c r="F21" t="str">
        <f t="shared" si="1"/>
        <v/>
      </c>
    </row>
    <row r="22" spans="1:36" x14ac:dyDescent="0.25">
      <c r="A22">
        <v>21</v>
      </c>
      <c r="B22" t="str">
        <f>IF(A22&lt;Slot!$B$6+1,CONCATENATE(Slot!A3,Slot!B4,Slot!C2,Slot!D4,Slot!E3),"")</f>
        <v>66688</v>
      </c>
      <c r="C22" t="str">
        <f>IF(ISERROR(VLOOKUP(B22,premi!$A$1:$A$30,1,0)),"",VLOOKUP(B22,premi!$A$1:$A$30,1,0))</f>
        <v/>
      </c>
      <c r="D22" t="s">
        <v>84</v>
      </c>
      <c r="E22" t="str">
        <f t="shared" si="0"/>
        <v/>
      </c>
      <c r="F22" t="str">
        <f t="shared" si="1"/>
        <v/>
      </c>
      <c r="H22" s="22" t="s">
        <v>39</v>
      </c>
      <c r="I22" s="22"/>
      <c r="J22" s="22"/>
      <c r="K22" s="22"/>
      <c r="L22" s="22"/>
      <c r="N22" s="22" t="s">
        <v>40</v>
      </c>
      <c r="O22" s="22"/>
      <c r="P22" s="22"/>
      <c r="Q22" s="22"/>
      <c r="R22" s="22"/>
      <c r="T22" s="22" t="s">
        <v>41</v>
      </c>
      <c r="U22" s="22"/>
      <c r="V22" s="22"/>
      <c r="W22" s="22"/>
      <c r="X22" s="22"/>
      <c r="Z22" s="22" t="s">
        <v>42</v>
      </c>
      <c r="AA22" s="22"/>
      <c r="AB22" s="22"/>
      <c r="AC22" s="22"/>
      <c r="AD22" s="22"/>
      <c r="AF22" s="22" t="s">
        <v>43</v>
      </c>
      <c r="AG22" s="22"/>
      <c r="AH22" s="22"/>
      <c r="AI22" s="22"/>
      <c r="AJ22" s="22"/>
    </row>
    <row r="23" spans="1:36" x14ac:dyDescent="0.25">
      <c r="A23">
        <v>22</v>
      </c>
      <c r="B23" t="str">
        <f>IF(A23&lt;Slot!$B$6+1,CONCATENATE(Slot!A2,Slot!B2,Slot!C4,Slot!D2,Slot!E2),"")</f>
        <v>6J6T9</v>
      </c>
      <c r="C23" t="str">
        <f>IF(ISERROR(VLOOKUP(B23,premi!$A$1:$A$30,1,0)),"",VLOOKUP(B23,premi!$A$1:$A$30,1,0))</f>
        <v/>
      </c>
      <c r="D23" t="s">
        <v>85</v>
      </c>
      <c r="E23" t="str">
        <f t="shared" si="0"/>
        <v/>
      </c>
      <c r="F23" t="str">
        <f t="shared" si="1"/>
        <v/>
      </c>
      <c r="H23" s="1"/>
      <c r="I23" s="1"/>
      <c r="J23" s="6"/>
      <c r="K23" s="1"/>
      <c r="L23" s="1"/>
      <c r="N23" s="1"/>
      <c r="O23" s="6"/>
      <c r="P23" s="1"/>
      <c r="Q23" s="6"/>
      <c r="R23" s="1"/>
      <c r="T23" s="1"/>
      <c r="U23" s="6"/>
      <c r="V23" s="1"/>
      <c r="W23" s="1"/>
      <c r="X23" s="1"/>
      <c r="Z23" s="1"/>
      <c r="AA23" s="1"/>
      <c r="AB23" s="1"/>
      <c r="AC23" s="1"/>
      <c r="AD23" s="1"/>
      <c r="AF23" s="1"/>
      <c r="AG23" s="1"/>
      <c r="AH23" s="1"/>
      <c r="AI23" s="1"/>
      <c r="AJ23" s="1"/>
    </row>
    <row r="24" spans="1:36" x14ac:dyDescent="0.25">
      <c r="A24">
        <v>23</v>
      </c>
      <c r="B24" t="str">
        <f>IF(A24&lt;Slot!$B$6+1,CONCATENATE(Slot!A4,Slot!B4,Slot!C2,Slot!D4,Slot!E4),"")</f>
        <v>56685</v>
      </c>
      <c r="C24" t="str">
        <f>IF(ISERROR(VLOOKUP(B24,premi!$A$1:$A$30,1,0)),"",VLOOKUP(B24,premi!$A$1:$A$30,1,0))</f>
        <v/>
      </c>
      <c r="D24" t="s">
        <v>86</v>
      </c>
      <c r="E24" t="str">
        <f t="shared" si="0"/>
        <v/>
      </c>
      <c r="F24" t="str">
        <f t="shared" si="1"/>
        <v/>
      </c>
      <c r="H24" s="6"/>
      <c r="I24" s="1"/>
      <c r="J24" s="1"/>
      <c r="K24" s="1"/>
      <c r="L24" s="6"/>
      <c r="N24" s="1"/>
      <c r="O24" s="1"/>
      <c r="P24" s="1"/>
      <c r="Q24" s="1"/>
      <c r="R24" s="1"/>
      <c r="T24" s="6"/>
      <c r="U24" s="1"/>
      <c r="V24" s="6"/>
      <c r="W24" s="1"/>
      <c r="X24" s="6"/>
      <c r="Z24" s="1"/>
      <c r="AA24" s="1"/>
      <c r="AB24" s="1"/>
      <c r="AC24" s="1"/>
      <c r="AD24" s="1"/>
      <c r="AF24" s="1"/>
      <c r="AG24" s="6"/>
      <c r="AH24" s="1"/>
      <c r="AI24" s="6"/>
      <c r="AJ24" s="1"/>
    </row>
    <row r="25" spans="1:36" x14ac:dyDescent="0.25">
      <c r="A25">
        <v>24</v>
      </c>
      <c r="B25" t="str">
        <f>IF(A25&lt;Slot!$B$6+1,CONCATENATE(Slot!A3,Slot!B2,Slot!C1,Slot!D2,Slot!E3),"")</f>
        <v>6J7T8</v>
      </c>
      <c r="C25" t="str">
        <f>IF(ISERROR(VLOOKUP(B25,premi!$A$1:$A$30,1,0)),"",VLOOKUP(B25,premi!$A$1:$A$30,1,0))</f>
        <v/>
      </c>
      <c r="D25" t="s">
        <v>87</v>
      </c>
      <c r="E25" t="str">
        <f t="shared" si="0"/>
        <v/>
      </c>
      <c r="F25" t="str">
        <f t="shared" si="1"/>
        <v/>
      </c>
      <c r="H25" s="1"/>
      <c r="I25" s="1"/>
      <c r="J25" s="1"/>
      <c r="K25" s="1"/>
      <c r="L25" s="1"/>
      <c r="N25" s="1"/>
      <c r="O25" s="1"/>
      <c r="P25" s="1"/>
      <c r="Q25" s="1"/>
      <c r="R25" s="1"/>
      <c r="T25" s="1"/>
      <c r="U25" s="1"/>
      <c r="V25" s="1"/>
      <c r="W25" s="6"/>
      <c r="X25" s="1"/>
      <c r="Z25" s="1"/>
      <c r="AA25" s="1"/>
      <c r="AB25" s="1"/>
      <c r="AC25" s="6"/>
      <c r="AD25" s="1"/>
      <c r="AF25" s="6"/>
      <c r="AG25" s="1"/>
      <c r="AH25" s="1"/>
      <c r="AI25" s="1"/>
      <c r="AJ25" s="6"/>
    </row>
    <row r="26" spans="1:36" x14ac:dyDescent="0.25">
      <c r="A26">
        <v>25</v>
      </c>
      <c r="B26" t="str">
        <f>IF(A26&lt;Slot!$B$6+1,CONCATENATE(Slot!A3,Slot!B4,Slot!C5,Slot!D4,Slot!E3),"")</f>
        <v>66K88</v>
      </c>
      <c r="C26" t="str">
        <f>IF(ISERROR(VLOOKUP(B26,premi!$A$1:$A$30,1,0)),"",VLOOKUP(B26,premi!$A$1:$A$30,1,0))</f>
        <v/>
      </c>
      <c r="D26" t="s">
        <v>88</v>
      </c>
      <c r="E26" t="str">
        <f t="shared" si="0"/>
        <v/>
      </c>
      <c r="F26" t="str">
        <f t="shared" si="1"/>
        <v/>
      </c>
      <c r="H26" s="1"/>
      <c r="I26" s="1"/>
      <c r="J26" s="1"/>
      <c r="K26" s="1"/>
      <c r="L26" s="1"/>
      <c r="N26" s="6"/>
      <c r="O26" s="1"/>
      <c r="P26" s="1"/>
      <c r="Q26" s="1"/>
      <c r="R26" s="6"/>
      <c r="T26" s="1"/>
      <c r="U26" s="1"/>
      <c r="V26" s="1"/>
      <c r="W26" s="1"/>
      <c r="X26" s="1"/>
      <c r="Z26" s="6"/>
      <c r="AA26" s="1"/>
      <c r="AB26" s="6"/>
      <c r="AC26" s="1"/>
      <c r="AD26" s="6"/>
      <c r="AF26" s="1"/>
      <c r="AG26" s="1"/>
      <c r="AH26" s="6"/>
      <c r="AI26" s="1"/>
      <c r="AJ26" s="1"/>
    </row>
    <row r="27" spans="1:36" x14ac:dyDescent="0.25">
      <c r="A27">
        <v>1</v>
      </c>
      <c r="B27" t="str">
        <f t="shared" ref="B27:B51" si="2">LEFT(B2,4)</f>
        <v>6877</v>
      </c>
      <c r="C27" t="str">
        <f>IF(C2="",IF(ISERROR(VLOOKUP(B27,premi!$A$1:$A$30,1,0)),"",VLOOKUP(B27,premi!$A$1:$A$30,1,0)),"")</f>
        <v/>
      </c>
      <c r="D27" t="s">
        <v>64</v>
      </c>
      <c r="E27" t="str">
        <f t="shared" si="0"/>
        <v/>
      </c>
      <c r="F27" t="str">
        <f t="shared" si="1"/>
        <v/>
      </c>
      <c r="H27" s="1"/>
      <c r="I27" s="6"/>
      <c r="J27" s="1"/>
      <c r="K27" s="6"/>
      <c r="L27" s="1"/>
      <c r="N27" s="1"/>
      <c r="O27" s="1"/>
      <c r="P27" s="6"/>
      <c r="Q27" s="1"/>
      <c r="R27" s="1"/>
      <c r="T27" s="1"/>
      <c r="U27" s="1"/>
      <c r="V27" s="1"/>
      <c r="W27" s="1"/>
      <c r="X27" s="1"/>
      <c r="Z27" s="1"/>
      <c r="AA27" s="6"/>
      <c r="AB27" s="1"/>
      <c r="AC27" s="1"/>
      <c r="AD27" s="1"/>
      <c r="AF27" s="1"/>
      <c r="AG27" s="1"/>
      <c r="AH27" s="1"/>
      <c r="AI27" s="1"/>
      <c r="AJ27" s="1"/>
    </row>
    <row r="28" spans="1:36" x14ac:dyDescent="0.25">
      <c r="A28">
        <v>2</v>
      </c>
      <c r="B28" t="str">
        <f t="shared" si="2"/>
        <v>6J6T</v>
      </c>
      <c r="C28" t="str">
        <f>IF(C3="",IF(ISERROR(VLOOKUP(B28,premi!$A$1:$A$30,1,0)),"",VLOOKUP(B28,premi!$A$1:$A$30,1,0)),"")</f>
        <v/>
      </c>
      <c r="D28" t="s">
        <v>65</v>
      </c>
      <c r="E28" t="str">
        <f t="shared" si="0"/>
        <v/>
      </c>
      <c r="F28" t="str">
        <f t="shared" si="1"/>
        <v/>
      </c>
    </row>
    <row r="29" spans="1:36" x14ac:dyDescent="0.25">
      <c r="A29">
        <v>3</v>
      </c>
      <c r="B29" t="str">
        <f t="shared" si="2"/>
        <v>65JT</v>
      </c>
      <c r="C29" t="str">
        <f>IF(C4="",IF(ISERROR(VLOOKUP(B29,premi!$A$1:$A$30,1,0)),"",VLOOKUP(B29,premi!$A$1:$A$30,1,0)),"")</f>
        <v/>
      </c>
      <c r="D29" t="s">
        <v>66</v>
      </c>
      <c r="E29" t="str">
        <f t="shared" si="0"/>
        <v/>
      </c>
      <c r="F29" t="str">
        <f t="shared" si="1"/>
        <v/>
      </c>
      <c r="H29" s="22" t="s">
        <v>44</v>
      </c>
      <c r="I29" s="22"/>
      <c r="J29" s="22"/>
      <c r="K29" s="22"/>
      <c r="L29" s="22"/>
      <c r="N29" s="22" t="s">
        <v>45</v>
      </c>
      <c r="O29" s="22"/>
      <c r="P29" s="22"/>
      <c r="Q29" s="22"/>
      <c r="R29" s="22"/>
      <c r="T29" s="22" t="s">
        <v>46</v>
      </c>
      <c r="U29" s="22"/>
      <c r="V29" s="22"/>
      <c r="W29" s="22"/>
      <c r="X29" s="22"/>
      <c r="Z29" s="22" t="s">
        <v>47</v>
      </c>
      <c r="AA29" s="22"/>
      <c r="AB29" s="22"/>
      <c r="AC29" s="22"/>
      <c r="AD29" s="22"/>
      <c r="AF29" s="22" t="s">
        <v>48</v>
      </c>
      <c r="AG29" s="22"/>
      <c r="AH29" s="22"/>
      <c r="AI29" s="22"/>
      <c r="AJ29" s="22"/>
    </row>
    <row r="30" spans="1:36" x14ac:dyDescent="0.25">
      <c r="A30">
        <v>4</v>
      </c>
      <c r="B30" t="str">
        <f t="shared" si="2"/>
        <v>5668</v>
      </c>
      <c r="C30" t="str">
        <f>IF(C5="",IF(ISERROR(VLOOKUP(B30,premi!$A$1:$A$30,1,0)),"",VLOOKUP(B30,premi!$A$1:$A$30,1,0)),"")</f>
        <v/>
      </c>
      <c r="D30" t="s">
        <v>67</v>
      </c>
      <c r="E30" t="str">
        <f t="shared" si="0"/>
        <v/>
      </c>
      <c r="F30" t="str">
        <f t="shared" si="1"/>
        <v/>
      </c>
      <c r="H30" s="1"/>
      <c r="I30" s="1"/>
      <c r="J30" s="1"/>
      <c r="K30" s="1"/>
      <c r="L30" s="1"/>
      <c r="N30" s="1"/>
      <c r="O30" s="1"/>
      <c r="P30" s="1"/>
      <c r="Q30" s="1"/>
      <c r="R30" s="1"/>
      <c r="T30" s="1"/>
      <c r="U30" s="1"/>
      <c r="V30" s="1"/>
      <c r="W30" s="1"/>
      <c r="X30" s="1"/>
      <c r="Z30" s="1"/>
      <c r="AA30" s="1"/>
      <c r="AB30" s="6"/>
      <c r="AC30" s="1"/>
      <c r="AD30" s="1"/>
      <c r="AF30" s="1"/>
      <c r="AG30" s="1"/>
      <c r="AH30" s="1"/>
      <c r="AI30" s="1"/>
      <c r="AJ30" s="1"/>
    </row>
    <row r="31" spans="1:36" x14ac:dyDescent="0.25">
      <c r="A31">
        <v>5</v>
      </c>
      <c r="B31" t="str">
        <f t="shared" si="2"/>
        <v>89K7</v>
      </c>
      <c r="C31" t="str">
        <f>IF(C6="",IF(ISERROR(VLOOKUP(B31,premi!$A$1:$A$30,1,0)),"",VLOOKUP(B31,premi!$A$1:$A$30,1,0)),"")</f>
        <v/>
      </c>
      <c r="D31" t="s">
        <v>68</v>
      </c>
      <c r="E31" t="str">
        <f t="shared" si="0"/>
        <v/>
      </c>
      <c r="F31" t="str">
        <f t="shared" si="1"/>
        <v/>
      </c>
      <c r="H31" s="1"/>
      <c r="I31" s="1"/>
      <c r="J31" s="6"/>
      <c r="K31" s="1"/>
      <c r="L31" s="1"/>
      <c r="N31" s="6"/>
      <c r="O31" s="6"/>
      <c r="P31" s="1"/>
      <c r="Q31" s="6"/>
      <c r="R31" s="6"/>
      <c r="T31" s="1"/>
      <c r="U31" s="1"/>
      <c r="V31" s="6"/>
      <c r="W31" s="1"/>
      <c r="X31" s="1"/>
      <c r="Z31" s="1"/>
      <c r="AA31" s="6"/>
      <c r="AB31" s="1"/>
      <c r="AC31" s="6"/>
      <c r="AD31" s="1"/>
      <c r="AF31" s="1"/>
      <c r="AG31" s="1"/>
      <c r="AH31" s="1"/>
      <c r="AI31" s="1"/>
      <c r="AJ31" s="1"/>
    </row>
    <row r="32" spans="1:36" x14ac:dyDescent="0.25">
      <c r="A32">
        <v>6</v>
      </c>
      <c r="B32" t="str">
        <f t="shared" si="2"/>
        <v>6JJ8</v>
      </c>
      <c r="C32" t="str">
        <f>IF(C7="",IF(ISERROR(VLOOKUP(B32,premi!$A$1:$A$30,1,0)),"",VLOOKUP(B32,premi!$A$1:$A$30,1,0)),"")</f>
        <v/>
      </c>
      <c r="D32" t="s">
        <v>69</v>
      </c>
      <c r="E32" t="str">
        <f t="shared" si="0"/>
        <v/>
      </c>
      <c r="F32" t="str">
        <f t="shared" si="1"/>
        <v/>
      </c>
      <c r="H32" s="6"/>
      <c r="I32" s="1"/>
      <c r="J32" s="1"/>
      <c r="K32" s="1"/>
      <c r="L32" s="6"/>
      <c r="N32" s="1"/>
      <c r="O32" s="1"/>
      <c r="P32" s="1"/>
      <c r="Q32" s="1"/>
      <c r="R32" s="1"/>
      <c r="T32" s="1"/>
      <c r="U32" s="1"/>
      <c r="V32" s="1"/>
      <c r="W32" s="1"/>
      <c r="X32" s="1"/>
      <c r="Z32" s="6"/>
      <c r="AA32" s="1"/>
      <c r="AB32" s="1"/>
      <c r="AC32" s="1"/>
      <c r="AD32" s="6"/>
      <c r="AF32" s="6"/>
      <c r="AG32" s="1"/>
      <c r="AH32" s="1"/>
      <c r="AI32" s="1"/>
      <c r="AJ32" s="6"/>
    </row>
    <row r="33" spans="1:36" x14ac:dyDescent="0.25">
      <c r="A33">
        <v>7</v>
      </c>
      <c r="B33" t="str">
        <f t="shared" si="2"/>
        <v>86JT</v>
      </c>
      <c r="C33" t="str">
        <f>IF(C8="",IF(ISERROR(VLOOKUP(B33,premi!$A$1:$A$30,1,0)),"",VLOOKUP(B33,premi!$A$1:$A$30,1,0)),"")</f>
        <v/>
      </c>
      <c r="D33" t="s">
        <v>70</v>
      </c>
      <c r="E33" t="str">
        <f t="shared" si="0"/>
        <v/>
      </c>
      <c r="F33" t="str">
        <f t="shared" si="1"/>
        <v/>
      </c>
      <c r="H33" s="1"/>
      <c r="I33" s="6"/>
      <c r="J33" s="1"/>
      <c r="K33" s="6"/>
      <c r="L33" s="1"/>
      <c r="N33" s="1"/>
      <c r="O33" s="1"/>
      <c r="P33" s="6"/>
      <c r="Q33" s="1"/>
      <c r="R33" s="1"/>
      <c r="T33" s="6"/>
      <c r="U33" s="6"/>
      <c r="V33" s="1"/>
      <c r="W33" s="6"/>
      <c r="X33" s="6"/>
      <c r="Z33" s="1"/>
      <c r="AA33" s="1"/>
      <c r="AB33" s="1"/>
      <c r="AC33" s="1"/>
      <c r="AD33" s="1"/>
      <c r="AF33" s="1"/>
      <c r="AG33" s="6"/>
      <c r="AH33" s="1"/>
      <c r="AI33" s="6"/>
      <c r="AJ33" s="1"/>
    </row>
    <row r="34" spans="1:36" x14ac:dyDescent="0.25">
      <c r="A34">
        <v>8</v>
      </c>
      <c r="B34" t="str">
        <f t="shared" si="2"/>
        <v>6977</v>
      </c>
      <c r="C34" t="str">
        <f>IF(C9="",IF(ISERROR(VLOOKUP(B34,premi!$A$1:$A$30,1,0)),"",VLOOKUP(B34,premi!$A$1:$A$30,1,0)),"")</f>
        <v/>
      </c>
      <c r="D34" t="s">
        <v>71</v>
      </c>
      <c r="E34" t="str">
        <f t="shared" si="0"/>
        <v/>
      </c>
      <c r="F34" t="str">
        <f t="shared" si="1"/>
        <v/>
      </c>
      <c r="H34" s="1"/>
      <c r="I34" s="1"/>
      <c r="J34" s="1"/>
      <c r="K34" s="1"/>
      <c r="L34" s="1"/>
      <c r="N34" s="1"/>
      <c r="O34" s="1"/>
      <c r="P34" s="1"/>
      <c r="Q34" s="1"/>
      <c r="R34" s="1"/>
      <c r="T34" s="1"/>
      <c r="U34" s="1"/>
      <c r="V34" s="1"/>
      <c r="W34" s="1"/>
      <c r="X34" s="1"/>
      <c r="Z34" s="1"/>
      <c r="AA34" s="1"/>
      <c r="AB34" s="1"/>
      <c r="AC34" s="1"/>
      <c r="AD34" s="1"/>
      <c r="AF34" s="1"/>
      <c r="AG34" s="1"/>
      <c r="AH34" s="6"/>
      <c r="AI34" s="1"/>
      <c r="AJ34" s="1"/>
    </row>
    <row r="35" spans="1:36" x14ac:dyDescent="0.25">
      <c r="A35">
        <v>9</v>
      </c>
      <c r="B35" t="str">
        <f t="shared" si="2"/>
        <v>88K7</v>
      </c>
      <c r="C35" t="str">
        <f>IF(C10="",IF(ISERROR(VLOOKUP(B35,premi!$A$1:$A$30,1,0)),"",VLOOKUP(B35,premi!$A$1:$A$30,1,0)),"")</f>
        <v/>
      </c>
      <c r="D35" t="s">
        <v>72</v>
      </c>
      <c r="E35" t="str">
        <f t="shared" si="0"/>
        <v/>
      </c>
      <c r="F35" t="str">
        <f t="shared" si="1"/>
        <v/>
      </c>
    </row>
    <row r="36" spans="1:36" x14ac:dyDescent="0.25">
      <c r="A36">
        <v>10</v>
      </c>
      <c r="B36" t="str">
        <f t="shared" si="2"/>
        <v>68K7</v>
      </c>
      <c r="C36" t="str">
        <f>IF(C11="",IF(ISERROR(VLOOKUP(B36,premi!$A$1:$A$30,1,0)),"",VLOOKUP(B36,premi!$A$1:$A$30,1,0)),"")</f>
        <v/>
      </c>
      <c r="D36" t="s">
        <v>73</v>
      </c>
      <c r="E36" t="str">
        <f t="shared" si="0"/>
        <v/>
      </c>
      <c r="F36" t="str">
        <f t="shared" si="1"/>
        <v/>
      </c>
    </row>
    <row r="37" spans="1:36" x14ac:dyDescent="0.25">
      <c r="A37">
        <v>11</v>
      </c>
      <c r="B37" t="str">
        <f t="shared" si="2"/>
        <v>8977</v>
      </c>
      <c r="C37" t="str">
        <f>IF(C12="",IF(ISERROR(VLOOKUP(B37,premi!$A$1:$A$30,1,0)),"",VLOOKUP(B37,premi!$A$1:$A$30,1,0)),"")</f>
        <v/>
      </c>
      <c r="D37" t="s">
        <v>74</v>
      </c>
      <c r="E37" t="str">
        <f t="shared" si="0"/>
        <v/>
      </c>
      <c r="F37" t="str">
        <f t="shared" si="1"/>
        <v/>
      </c>
    </row>
    <row r="38" spans="1:36" x14ac:dyDescent="0.25">
      <c r="A38">
        <v>12</v>
      </c>
      <c r="B38" t="str">
        <f t="shared" si="2"/>
        <v>68J7</v>
      </c>
      <c r="C38" t="str">
        <f>IF(C13="",IF(ISERROR(VLOOKUP(B38,premi!$A$1:$A$30,1,0)),"",VLOOKUP(B38,premi!$A$1:$A$30,1,0)),"")</f>
        <v/>
      </c>
      <c r="D38" t="s">
        <v>75</v>
      </c>
      <c r="E38" t="str">
        <f t="shared" si="0"/>
        <v/>
      </c>
      <c r="F38" t="str">
        <f t="shared" si="1"/>
        <v/>
      </c>
    </row>
    <row r="39" spans="1:36" x14ac:dyDescent="0.25">
      <c r="A39">
        <v>13</v>
      </c>
      <c r="B39" t="str">
        <f t="shared" si="2"/>
        <v>89J7</v>
      </c>
      <c r="C39" t="str">
        <f>IF(C14="",IF(ISERROR(VLOOKUP(B39,premi!$A$1:$A$30,1,0)),"",VLOOKUP(B39,premi!$A$1:$A$30,1,0)),"")</f>
        <v/>
      </c>
      <c r="D39" t="s">
        <v>76</v>
      </c>
      <c r="E39" t="str">
        <f t="shared" si="0"/>
        <v/>
      </c>
      <c r="F39" t="str">
        <f t="shared" si="1"/>
        <v/>
      </c>
    </row>
    <row r="40" spans="1:36" x14ac:dyDescent="0.25">
      <c r="A40">
        <v>14</v>
      </c>
      <c r="B40" t="str">
        <f t="shared" si="2"/>
        <v>69J7</v>
      </c>
      <c r="C40" t="str">
        <f>IF(C15="",IF(ISERROR(VLOOKUP(B40,premi!$A$1:$A$30,1,0)),"",VLOOKUP(B40,premi!$A$1:$A$30,1,0)),"")</f>
        <v/>
      </c>
      <c r="D40" t="s">
        <v>77</v>
      </c>
      <c r="E40" t="str">
        <f t="shared" si="0"/>
        <v/>
      </c>
      <c r="F40" t="str">
        <f t="shared" si="1"/>
        <v/>
      </c>
    </row>
    <row r="41" spans="1:36" x14ac:dyDescent="0.25">
      <c r="A41">
        <v>15</v>
      </c>
      <c r="B41" t="str">
        <f t="shared" si="2"/>
        <v>88J7</v>
      </c>
      <c r="C41" t="str">
        <f>IF(C16="",IF(ISERROR(VLOOKUP(B41,premi!$A$1:$A$30,1,0)),"",VLOOKUP(B41,premi!$A$1:$A$30,1,0)),"")</f>
        <v/>
      </c>
      <c r="D41" t="s">
        <v>78</v>
      </c>
      <c r="E41" t="str">
        <f t="shared" si="0"/>
        <v/>
      </c>
      <c r="F41" t="str">
        <f t="shared" si="1"/>
        <v/>
      </c>
    </row>
    <row r="42" spans="1:36" x14ac:dyDescent="0.25">
      <c r="A42">
        <v>16</v>
      </c>
      <c r="B42" t="str">
        <f t="shared" si="2"/>
        <v>6977</v>
      </c>
      <c r="C42" t="str">
        <f>IF(C17="",IF(ISERROR(VLOOKUP(B42,premi!$A$1:$A$30,1,0)),"",VLOOKUP(B42,premi!$A$1:$A$30,1,0)),"")</f>
        <v/>
      </c>
      <c r="D42" t="s">
        <v>79</v>
      </c>
      <c r="E42" t="str">
        <f t="shared" si="0"/>
        <v/>
      </c>
      <c r="F42" t="str">
        <f t="shared" si="1"/>
        <v/>
      </c>
    </row>
    <row r="43" spans="1:36" x14ac:dyDescent="0.25">
      <c r="A43">
        <v>17</v>
      </c>
      <c r="B43" t="str">
        <f t="shared" si="2"/>
        <v>58K7</v>
      </c>
      <c r="C43" t="str">
        <f>IF(C18="",IF(ISERROR(VLOOKUP(B43,premi!$A$1:$A$30,1,0)),"",VLOOKUP(B43,premi!$A$1:$A$30,1,0)),"")</f>
        <v/>
      </c>
      <c r="D43" t="s">
        <v>80</v>
      </c>
      <c r="E43" t="str">
        <f t="shared" si="0"/>
        <v/>
      </c>
      <c r="F43" t="str">
        <f t="shared" si="1"/>
        <v/>
      </c>
    </row>
    <row r="44" spans="1:36" x14ac:dyDescent="0.25">
      <c r="A44">
        <v>18</v>
      </c>
      <c r="B44" t="str">
        <f t="shared" si="2"/>
        <v>686T</v>
      </c>
      <c r="C44" t="str">
        <f>IF(C19="",IF(ISERROR(VLOOKUP(B44,premi!$A$1:$A$30,1,0)),"",VLOOKUP(B44,premi!$A$1:$A$30,1,0)),"")</f>
        <v/>
      </c>
      <c r="D44" t="s">
        <v>81</v>
      </c>
      <c r="E44" t="str">
        <f t="shared" si="0"/>
        <v/>
      </c>
      <c r="F44" t="str">
        <f t="shared" si="1"/>
        <v/>
      </c>
    </row>
    <row r="45" spans="1:36" x14ac:dyDescent="0.25">
      <c r="A45">
        <v>19</v>
      </c>
      <c r="B45" t="str">
        <f t="shared" si="2"/>
        <v>596T</v>
      </c>
      <c r="C45" t="str">
        <f>IF(C20="",IF(ISERROR(VLOOKUP(B45,premi!$A$1:$A$30,1,0)),"",VLOOKUP(B45,premi!$A$1:$A$30,1,0)),"")</f>
        <v/>
      </c>
      <c r="D45" t="s">
        <v>82</v>
      </c>
      <c r="E45" t="str">
        <f t="shared" si="0"/>
        <v/>
      </c>
      <c r="F45" t="str">
        <f t="shared" si="1"/>
        <v/>
      </c>
    </row>
    <row r="46" spans="1:36" x14ac:dyDescent="0.25">
      <c r="A46">
        <v>20</v>
      </c>
      <c r="B46" t="str">
        <f t="shared" si="2"/>
        <v>6J6T</v>
      </c>
      <c r="C46" t="str">
        <f>IF(C21="",IF(ISERROR(VLOOKUP(B46,premi!$A$1:$A$30,1,0)),"",VLOOKUP(B46,premi!$A$1:$A$30,1,0)),"")</f>
        <v/>
      </c>
      <c r="D46" t="s">
        <v>83</v>
      </c>
      <c r="E46" t="str">
        <f t="shared" si="0"/>
        <v/>
      </c>
      <c r="F46" t="str">
        <f t="shared" si="1"/>
        <v/>
      </c>
    </row>
    <row r="47" spans="1:36" x14ac:dyDescent="0.25">
      <c r="A47">
        <v>21</v>
      </c>
      <c r="B47" t="str">
        <f t="shared" si="2"/>
        <v>6668</v>
      </c>
      <c r="C47" t="str">
        <f>IF(C22="",IF(ISERROR(VLOOKUP(B47,premi!$A$1:$A$30,1,0)),"",VLOOKUP(B47,premi!$A$1:$A$30,1,0)),"")</f>
        <v/>
      </c>
      <c r="D47" t="s">
        <v>84</v>
      </c>
      <c r="E47" t="str">
        <f t="shared" si="0"/>
        <v/>
      </c>
      <c r="F47" t="str">
        <f t="shared" si="1"/>
        <v/>
      </c>
    </row>
    <row r="48" spans="1:36" x14ac:dyDescent="0.25">
      <c r="A48">
        <v>22</v>
      </c>
      <c r="B48" t="str">
        <f t="shared" si="2"/>
        <v>6J6T</v>
      </c>
      <c r="C48" t="str">
        <f>IF(C23="",IF(ISERROR(VLOOKUP(B48,premi!$A$1:$A$30,1,0)),"",VLOOKUP(B48,premi!$A$1:$A$30,1,0)),"")</f>
        <v/>
      </c>
      <c r="D48" t="s">
        <v>85</v>
      </c>
      <c r="E48" t="str">
        <f t="shared" si="0"/>
        <v/>
      </c>
      <c r="F48" t="str">
        <f t="shared" si="1"/>
        <v/>
      </c>
    </row>
    <row r="49" spans="1:6" x14ac:dyDescent="0.25">
      <c r="A49">
        <v>23</v>
      </c>
      <c r="B49" t="str">
        <f t="shared" si="2"/>
        <v>5668</v>
      </c>
      <c r="C49" t="str">
        <f>IF(C24="",IF(ISERROR(VLOOKUP(B49,premi!$A$1:$A$30,1,0)),"",VLOOKUP(B49,premi!$A$1:$A$30,1,0)),"")</f>
        <v/>
      </c>
      <c r="D49" t="s">
        <v>86</v>
      </c>
      <c r="E49" t="str">
        <f t="shared" si="0"/>
        <v/>
      </c>
      <c r="F49" t="str">
        <f t="shared" si="1"/>
        <v/>
      </c>
    </row>
    <row r="50" spans="1:6" x14ac:dyDescent="0.25">
      <c r="A50">
        <v>24</v>
      </c>
      <c r="B50" t="str">
        <f t="shared" si="2"/>
        <v>6J7T</v>
      </c>
      <c r="C50" t="str">
        <f>IF(C25="",IF(ISERROR(VLOOKUP(B50,premi!$A$1:$A$30,1,0)),"",VLOOKUP(B50,premi!$A$1:$A$30,1,0)),"")</f>
        <v/>
      </c>
      <c r="D50" t="s">
        <v>87</v>
      </c>
      <c r="E50" t="str">
        <f t="shared" si="0"/>
        <v/>
      </c>
      <c r="F50" t="str">
        <f t="shared" si="1"/>
        <v/>
      </c>
    </row>
    <row r="51" spans="1:6" x14ac:dyDescent="0.25">
      <c r="A51">
        <v>25</v>
      </c>
      <c r="B51" t="str">
        <f t="shared" si="2"/>
        <v>66K8</v>
      </c>
      <c r="C51" t="str">
        <f>IF(C26="",IF(ISERROR(VLOOKUP(B51,premi!$A$1:$A$30,1,0)),"",VLOOKUP(B51,premi!$A$1:$A$30,1,0)),"")</f>
        <v/>
      </c>
      <c r="D51" t="s">
        <v>88</v>
      </c>
      <c r="E51" t="str">
        <f t="shared" si="0"/>
        <v/>
      </c>
      <c r="F51" t="str">
        <f t="shared" si="1"/>
        <v/>
      </c>
    </row>
    <row r="52" spans="1:6" x14ac:dyDescent="0.25">
      <c r="A52">
        <v>1</v>
      </c>
      <c r="B52" t="str">
        <f t="shared" ref="B52:B76" si="3">LEFT(B2,3)</f>
        <v>687</v>
      </c>
      <c r="C52" t="str">
        <f>IF(C27="",IF(C2="",IF(ISERROR(VLOOKUP(B52,premi!$A$1:$A$30,1,0)),"",VLOOKUP(B52,premi!$A$1:$A$30,1,0)),""),"")</f>
        <v/>
      </c>
      <c r="D52" t="s">
        <v>64</v>
      </c>
      <c r="E52" t="str">
        <f t="shared" si="0"/>
        <v/>
      </c>
      <c r="F52" t="str">
        <f t="shared" si="1"/>
        <v/>
      </c>
    </row>
    <row r="53" spans="1:6" x14ac:dyDescent="0.25">
      <c r="A53">
        <v>2</v>
      </c>
      <c r="B53" t="str">
        <f t="shared" si="3"/>
        <v>6J6</v>
      </c>
      <c r="C53" t="str">
        <f>IF(C28="",IF(C3="",IF(ISERROR(VLOOKUP(B53,premi!$A$1:$A$30,1,0)),"",VLOOKUP(B53,premi!$A$1:$A$30,1,0)),""),"")</f>
        <v/>
      </c>
      <c r="D53" t="s">
        <v>65</v>
      </c>
      <c r="E53" t="str">
        <f t="shared" si="0"/>
        <v/>
      </c>
      <c r="F53" t="str">
        <f t="shared" si="1"/>
        <v/>
      </c>
    </row>
    <row r="54" spans="1:6" x14ac:dyDescent="0.25">
      <c r="A54">
        <v>3</v>
      </c>
      <c r="B54" t="str">
        <f t="shared" si="3"/>
        <v>65J</v>
      </c>
      <c r="C54" t="str">
        <f>IF(C29="",IF(C4="",IF(ISERROR(VLOOKUP(B54,premi!$A$1:$A$30,1,0)),"",VLOOKUP(B54,premi!$A$1:$A$30,1,0)),""),"")</f>
        <v/>
      </c>
      <c r="D54" t="s">
        <v>66</v>
      </c>
      <c r="E54" t="str">
        <f t="shared" si="0"/>
        <v/>
      </c>
      <c r="F54" t="str">
        <f t="shared" si="1"/>
        <v/>
      </c>
    </row>
    <row r="55" spans="1:6" x14ac:dyDescent="0.25">
      <c r="A55">
        <v>4</v>
      </c>
      <c r="B55" t="str">
        <f t="shared" si="3"/>
        <v>566</v>
      </c>
      <c r="C55" t="str">
        <f>IF(C30="",IF(C5="",IF(ISERROR(VLOOKUP(B55,premi!$A$1:$A$30,1,0)),"",VLOOKUP(B55,premi!$A$1:$A$30,1,0)),""),"")</f>
        <v/>
      </c>
      <c r="D55" t="s">
        <v>67</v>
      </c>
      <c r="E55" t="str">
        <f t="shared" si="0"/>
        <v/>
      </c>
      <c r="F55" t="str">
        <f t="shared" si="1"/>
        <v/>
      </c>
    </row>
    <row r="56" spans="1:6" x14ac:dyDescent="0.25">
      <c r="A56">
        <v>5</v>
      </c>
      <c r="B56" t="str">
        <f t="shared" si="3"/>
        <v>89K</v>
      </c>
      <c r="C56" t="str">
        <f>IF(C31="",IF(C6="",IF(ISERROR(VLOOKUP(B56,premi!$A$1:$A$30,1,0)),"",VLOOKUP(B56,premi!$A$1:$A$30,1,0)),""),"")</f>
        <v/>
      </c>
      <c r="D56" t="s">
        <v>68</v>
      </c>
      <c r="E56" t="str">
        <f t="shared" si="0"/>
        <v/>
      </c>
      <c r="F56" t="str">
        <f t="shared" si="1"/>
        <v/>
      </c>
    </row>
    <row r="57" spans="1:6" x14ac:dyDescent="0.25">
      <c r="A57">
        <v>6</v>
      </c>
      <c r="B57" t="str">
        <f t="shared" si="3"/>
        <v>6JJ</v>
      </c>
      <c r="C57" t="str">
        <f>IF(C32="",IF(C7="",IF(ISERROR(VLOOKUP(B57,premi!$A$1:$A$30,1,0)),"",VLOOKUP(B57,premi!$A$1:$A$30,1,0)),""),"")</f>
        <v/>
      </c>
      <c r="D57" t="s">
        <v>69</v>
      </c>
      <c r="E57" t="str">
        <f t="shared" si="0"/>
        <v/>
      </c>
      <c r="F57" t="str">
        <f t="shared" si="1"/>
        <v/>
      </c>
    </row>
    <row r="58" spans="1:6" x14ac:dyDescent="0.25">
      <c r="A58">
        <v>7</v>
      </c>
      <c r="B58" t="str">
        <f t="shared" si="3"/>
        <v>86J</v>
      </c>
      <c r="C58" t="str">
        <f>IF(C33="",IF(C8="",IF(ISERROR(VLOOKUP(B58,premi!$A$1:$A$30,1,0)),"",VLOOKUP(B58,premi!$A$1:$A$30,1,0)),""),"")</f>
        <v/>
      </c>
      <c r="D58" t="s">
        <v>70</v>
      </c>
      <c r="E58" t="str">
        <f t="shared" si="0"/>
        <v/>
      </c>
      <c r="F58" t="str">
        <f t="shared" si="1"/>
        <v/>
      </c>
    </row>
    <row r="59" spans="1:6" x14ac:dyDescent="0.25">
      <c r="A59">
        <v>8</v>
      </c>
      <c r="B59" t="str">
        <f t="shared" si="3"/>
        <v>697</v>
      </c>
      <c r="C59" t="str">
        <f>IF(C34="",IF(C9="",IF(ISERROR(VLOOKUP(B59,premi!$A$1:$A$30,1,0)),"",VLOOKUP(B59,premi!$A$1:$A$30,1,0)),""),"")</f>
        <v/>
      </c>
      <c r="D59" t="s">
        <v>71</v>
      </c>
      <c r="E59" t="str">
        <f t="shared" si="0"/>
        <v/>
      </c>
      <c r="F59" t="str">
        <f t="shared" si="1"/>
        <v/>
      </c>
    </row>
    <row r="60" spans="1:6" x14ac:dyDescent="0.25">
      <c r="A60">
        <v>9</v>
      </c>
      <c r="B60" t="str">
        <f t="shared" si="3"/>
        <v>88K</v>
      </c>
      <c r="C60" t="str">
        <f>IF(C35="",IF(C10="",IF(ISERROR(VLOOKUP(B60,premi!$A$1:$A$30,1,0)),"",VLOOKUP(B60,premi!$A$1:$A$30,1,0)),""),"")</f>
        <v/>
      </c>
      <c r="D60" t="s">
        <v>72</v>
      </c>
      <c r="E60" t="str">
        <f t="shared" si="0"/>
        <v/>
      </c>
      <c r="F60" t="str">
        <f t="shared" si="1"/>
        <v/>
      </c>
    </row>
    <row r="61" spans="1:6" x14ac:dyDescent="0.25">
      <c r="A61">
        <v>10</v>
      </c>
      <c r="B61" t="str">
        <f t="shared" si="3"/>
        <v>68K</v>
      </c>
      <c r="C61" t="str">
        <f>IF(C36="",IF(C11="",IF(ISERROR(VLOOKUP(B61,premi!$A$1:$A$30,1,0)),"",VLOOKUP(B61,premi!$A$1:$A$30,1,0)),""),"")</f>
        <v/>
      </c>
      <c r="D61" t="s">
        <v>73</v>
      </c>
      <c r="E61" t="str">
        <f t="shared" si="0"/>
        <v/>
      </c>
      <c r="F61" t="str">
        <f t="shared" si="1"/>
        <v/>
      </c>
    </row>
    <row r="62" spans="1:6" x14ac:dyDescent="0.25">
      <c r="A62">
        <v>11</v>
      </c>
      <c r="B62" t="str">
        <f t="shared" si="3"/>
        <v>897</v>
      </c>
      <c r="C62" t="str">
        <f>IF(C37="",IF(C12="",IF(ISERROR(VLOOKUP(B62,premi!$A$1:$A$30,1,0)),"",VLOOKUP(B62,premi!$A$1:$A$30,1,0)),""),"")</f>
        <v/>
      </c>
      <c r="D62" t="s">
        <v>74</v>
      </c>
      <c r="E62" t="str">
        <f t="shared" si="0"/>
        <v/>
      </c>
      <c r="F62" t="str">
        <f t="shared" si="1"/>
        <v/>
      </c>
    </row>
    <row r="63" spans="1:6" x14ac:dyDescent="0.25">
      <c r="A63">
        <v>12</v>
      </c>
      <c r="B63" t="str">
        <f t="shared" si="3"/>
        <v>68J</v>
      </c>
      <c r="C63" t="str">
        <f>IF(C38="",IF(C13="",IF(ISERROR(VLOOKUP(B63,premi!$A$1:$A$30,1,0)),"",VLOOKUP(B63,premi!$A$1:$A$30,1,0)),""),"")</f>
        <v/>
      </c>
      <c r="D63" t="s">
        <v>75</v>
      </c>
      <c r="E63" t="str">
        <f t="shared" si="0"/>
        <v/>
      </c>
      <c r="F63" t="str">
        <f t="shared" si="1"/>
        <v/>
      </c>
    </row>
    <row r="64" spans="1:6" x14ac:dyDescent="0.25">
      <c r="A64">
        <v>13</v>
      </c>
      <c r="B64" t="str">
        <f t="shared" si="3"/>
        <v>89J</v>
      </c>
      <c r="C64" t="str">
        <f>IF(C39="",IF(C14="",IF(ISERROR(VLOOKUP(B64,premi!$A$1:$A$30,1,0)),"",VLOOKUP(B64,premi!$A$1:$A$30,1,0)),""),"")</f>
        <v/>
      </c>
      <c r="D64" t="s">
        <v>76</v>
      </c>
      <c r="E64" t="str">
        <f t="shared" si="0"/>
        <v/>
      </c>
      <c r="F64" t="str">
        <f t="shared" si="1"/>
        <v/>
      </c>
    </row>
    <row r="65" spans="1:6" x14ac:dyDescent="0.25">
      <c r="A65">
        <v>14</v>
      </c>
      <c r="B65" t="str">
        <f t="shared" si="3"/>
        <v>69J</v>
      </c>
      <c r="C65" t="str">
        <f>IF(C40="",IF(C15="",IF(ISERROR(VLOOKUP(B65,premi!$A$1:$A$30,1,0)),"",VLOOKUP(B65,premi!$A$1:$A$30,1,0)),""),"")</f>
        <v/>
      </c>
      <c r="D65" t="s">
        <v>77</v>
      </c>
      <c r="E65" t="str">
        <f t="shared" si="0"/>
        <v/>
      </c>
      <c r="F65" t="str">
        <f t="shared" si="1"/>
        <v/>
      </c>
    </row>
    <row r="66" spans="1:6" x14ac:dyDescent="0.25">
      <c r="A66">
        <v>15</v>
      </c>
      <c r="B66" t="str">
        <f t="shared" si="3"/>
        <v>88J</v>
      </c>
      <c r="C66" t="str">
        <f>IF(C41="",IF(C16="",IF(ISERROR(VLOOKUP(B66,premi!$A$1:$A$30,1,0)),"",VLOOKUP(B66,premi!$A$1:$A$30,1,0)),""),"")</f>
        <v/>
      </c>
      <c r="D66" t="s">
        <v>78</v>
      </c>
      <c r="E66" t="str">
        <f t="shared" si="0"/>
        <v/>
      </c>
      <c r="F66" t="str">
        <f t="shared" si="1"/>
        <v/>
      </c>
    </row>
    <row r="67" spans="1:6" x14ac:dyDescent="0.25">
      <c r="A67">
        <v>16</v>
      </c>
      <c r="B67" t="str">
        <f t="shared" si="3"/>
        <v>697</v>
      </c>
      <c r="C67" t="str">
        <f>IF(C42="",IF(C17="",IF(ISERROR(VLOOKUP(B67,premi!$A$1:$A$30,1,0)),"",VLOOKUP(B67,premi!$A$1:$A$30,1,0)),""),"")</f>
        <v/>
      </c>
      <c r="D67" t="s">
        <v>79</v>
      </c>
      <c r="E67" t="str">
        <f t="shared" ref="E67:E76" si="4">IF(C67="","",D67)</f>
        <v/>
      </c>
      <c r="F67" t="str">
        <f t="shared" ref="F67:F76" si="5">IF(E67="","",B67)</f>
        <v/>
      </c>
    </row>
    <row r="68" spans="1:6" x14ac:dyDescent="0.25">
      <c r="A68">
        <v>17</v>
      </c>
      <c r="B68" t="str">
        <f t="shared" si="3"/>
        <v>58K</v>
      </c>
      <c r="C68" t="str">
        <f>IF(C43="",IF(C18="",IF(ISERROR(VLOOKUP(B68,premi!$A$1:$A$30,1,0)),"",VLOOKUP(B68,premi!$A$1:$A$30,1,0)),""),"")</f>
        <v/>
      </c>
      <c r="D68" t="s">
        <v>80</v>
      </c>
      <c r="E68" t="str">
        <f t="shared" si="4"/>
        <v/>
      </c>
      <c r="F68" t="str">
        <f t="shared" si="5"/>
        <v/>
      </c>
    </row>
    <row r="69" spans="1:6" x14ac:dyDescent="0.25">
      <c r="A69">
        <v>18</v>
      </c>
      <c r="B69" t="str">
        <f t="shared" si="3"/>
        <v>686</v>
      </c>
      <c r="C69" t="str">
        <f>IF(C44="",IF(C19="",IF(ISERROR(VLOOKUP(B69,premi!$A$1:$A$30,1,0)),"",VLOOKUP(B69,premi!$A$1:$A$30,1,0)),""),"")</f>
        <v/>
      </c>
      <c r="D69" t="s">
        <v>81</v>
      </c>
      <c r="E69" t="str">
        <f t="shared" si="4"/>
        <v/>
      </c>
      <c r="F69" t="str">
        <f t="shared" si="5"/>
        <v/>
      </c>
    </row>
    <row r="70" spans="1:6" x14ac:dyDescent="0.25">
      <c r="A70">
        <v>19</v>
      </c>
      <c r="B70" t="str">
        <f t="shared" si="3"/>
        <v>596</v>
      </c>
      <c r="C70" t="str">
        <f>IF(C45="",IF(C20="",IF(ISERROR(VLOOKUP(B70,premi!$A$1:$A$30,1,0)),"",VLOOKUP(B70,premi!$A$1:$A$30,1,0)),""),"")</f>
        <v/>
      </c>
      <c r="D70" t="s">
        <v>82</v>
      </c>
      <c r="E70" t="str">
        <f t="shared" si="4"/>
        <v/>
      </c>
      <c r="F70" t="str">
        <f t="shared" si="5"/>
        <v/>
      </c>
    </row>
    <row r="71" spans="1:6" x14ac:dyDescent="0.25">
      <c r="A71">
        <v>20</v>
      </c>
      <c r="B71" t="str">
        <f t="shared" si="3"/>
        <v>6J6</v>
      </c>
      <c r="C71" t="str">
        <f>IF(C46="",IF(C21="",IF(ISERROR(VLOOKUP(B71,premi!$A$1:$A$30,1,0)),"",VLOOKUP(B71,premi!$A$1:$A$30,1,0)),""),"")</f>
        <v/>
      </c>
      <c r="D71" t="s">
        <v>83</v>
      </c>
      <c r="E71" t="str">
        <f t="shared" si="4"/>
        <v/>
      </c>
      <c r="F71" t="str">
        <f t="shared" si="5"/>
        <v/>
      </c>
    </row>
    <row r="72" spans="1:6" x14ac:dyDescent="0.25">
      <c r="A72">
        <v>21</v>
      </c>
      <c r="B72" t="str">
        <f t="shared" si="3"/>
        <v>666</v>
      </c>
      <c r="C72" t="str">
        <f>IF(C47="",IF(C22="",IF(ISERROR(VLOOKUP(B72,premi!$A$1:$A$30,1,0)),"",VLOOKUP(B72,premi!$A$1:$A$30,1,0)),""),"")</f>
        <v>666</v>
      </c>
      <c r="D72" t="s">
        <v>84</v>
      </c>
      <c r="E72" t="str">
        <f t="shared" si="4"/>
        <v>LINEA 21</v>
      </c>
      <c r="F72" t="str">
        <f t="shared" si="5"/>
        <v>666</v>
      </c>
    </row>
    <row r="73" spans="1:6" x14ac:dyDescent="0.25">
      <c r="A73">
        <v>22</v>
      </c>
      <c r="B73" t="str">
        <f t="shared" si="3"/>
        <v>6J6</v>
      </c>
      <c r="C73" t="str">
        <f>IF(C48="",IF(C23="",IF(ISERROR(VLOOKUP(B73,premi!$A$1:$A$30,1,0)),"",VLOOKUP(B73,premi!$A$1:$A$30,1,0)),""),"")</f>
        <v/>
      </c>
      <c r="D73" t="s">
        <v>85</v>
      </c>
      <c r="E73" t="str">
        <f t="shared" si="4"/>
        <v/>
      </c>
      <c r="F73" t="str">
        <f t="shared" si="5"/>
        <v/>
      </c>
    </row>
    <row r="74" spans="1:6" x14ac:dyDescent="0.25">
      <c r="A74">
        <v>23</v>
      </c>
      <c r="B74" t="str">
        <f t="shared" si="3"/>
        <v>566</v>
      </c>
      <c r="C74" t="str">
        <f>IF(C49="",IF(C24="",IF(ISERROR(VLOOKUP(B74,premi!$A$1:$A$30,1,0)),"",VLOOKUP(B74,premi!$A$1:$A$30,1,0)),""),"")</f>
        <v/>
      </c>
      <c r="D74" t="s">
        <v>86</v>
      </c>
      <c r="E74" t="str">
        <f t="shared" si="4"/>
        <v/>
      </c>
      <c r="F74" t="str">
        <f t="shared" si="5"/>
        <v/>
      </c>
    </row>
    <row r="75" spans="1:6" x14ac:dyDescent="0.25">
      <c r="A75">
        <v>24</v>
      </c>
      <c r="B75" t="str">
        <f t="shared" si="3"/>
        <v>6J7</v>
      </c>
      <c r="C75" t="str">
        <f>IF(C50="",IF(C25="",IF(ISERROR(VLOOKUP(B75,premi!$A$1:$A$30,1,0)),"",VLOOKUP(B75,premi!$A$1:$A$30,1,0)),""),"")</f>
        <v/>
      </c>
      <c r="D75" t="s">
        <v>87</v>
      </c>
      <c r="E75" t="str">
        <f t="shared" si="4"/>
        <v/>
      </c>
      <c r="F75" t="str">
        <f t="shared" si="5"/>
        <v/>
      </c>
    </row>
    <row r="76" spans="1:6" x14ac:dyDescent="0.25">
      <c r="A76">
        <v>25</v>
      </c>
      <c r="B76" t="str">
        <f t="shared" si="3"/>
        <v>66K</v>
      </c>
      <c r="C76" t="str">
        <f>IF(C51="",IF(C26="",IF(ISERROR(VLOOKUP(B76,premi!$A$1:$A$30,1,0)),"",VLOOKUP(B76,premi!$A$1:$A$30,1,0)),""),"")</f>
        <v/>
      </c>
      <c r="D76" t="s">
        <v>88</v>
      </c>
      <c r="E76" t="str">
        <f t="shared" si="4"/>
        <v/>
      </c>
      <c r="F76" t="str">
        <f t="shared" si="5"/>
        <v/>
      </c>
    </row>
  </sheetData>
  <mergeCells count="25">
    <mergeCell ref="AF29:AJ29"/>
    <mergeCell ref="AF1:AJ1"/>
    <mergeCell ref="H22:L22"/>
    <mergeCell ref="N22:R22"/>
    <mergeCell ref="T22:X22"/>
    <mergeCell ref="Z22:AD22"/>
    <mergeCell ref="AF22:AJ22"/>
    <mergeCell ref="AF8:AJ8"/>
    <mergeCell ref="H15:L15"/>
    <mergeCell ref="N15:R15"/>
    <mergeCell ref="T15:X15"/>
    <mergeCell ref="Z15:AD15"/>
    <mergeCell ref="AF15:AJ15"/>
    <mergeCell ref="H1:L1"/>
    <mergeCell ref="N1:R1"/>
    <mergeCell ref="H8:L8"/>
    <mergeCell ref="T8:X8"/>
    <mergeCell ref="Z8:AD8"/>
    <mergeCell ref="T1:X1"/>
    <mergeCell ref="Z1:AD1"/>
    <mergeCell ref="H29:L29"/>
    <mergeCell ref="N29:R29"/>
    <mergeCell ref="T29:X29"/>
    <mergeCell ref="Z29:AD29"/>
    <mergeCell ref="N8:R8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/>
  <dimension ref="A1:AJ34"/>
  <sheetViews>
    <sheetView topLeftCell="A16" workbookViewId="0">
      <selection activeCell="F26" sqref="F26"/>
    </sheetView>
  </sheetViews>
  <sheetFormatPr defaultRowHeight="15" x14ac:dyDescent="0.25"/>
  <cols>
    <col min="2" max="2" width="15.28515625" bestFit="1" customWidth="1"/>
    <col min="3" max="3" width="16.85546875" bestFit="1" customWidth="1"/>
    <col min="5" max="5" width="9.5703125" style="7" bestFit="1" customWidth="1"/>
    <col min="7" max="7" width="2.7109375" customWidth="1"/>
    <col min="8" max="36" width="2.5703125" customWidth="1"/>
    <col min="37" max="113" width="2.7109375" customWidth="1"/>
  </cols>
  <sheetData>
    <row r="1" spans="1:36" x14ac:dyDescent="0.25">
      <c r="A1" s="8" t="s">
        <v>49</v>
      </c>
      <c r="B1" s="3">
        <v>166.375</v>
      </c>
      <c r="C1" s="4">
        <v>8</v>
      </c>
      <c r="D1">
        <f>COUNTIF('Combinazioni Uscite'!B:B,premi!A1)-D11-D21</f>
        <v>0</v>
      </c>
      <c r="E1" s="7">
        <f>C1*Slot!D$6*D1</f>
        <v>0</v>
      </c>
      <c r="F1" s="4"/>
      <c r="H1" s="22" t="s">
        <v>24</v>
      </c>
      <c r="I1" s="22"/>
      <c r="J1" s="22"/>
      <c r="K1" s="22"/>
      <c r="L1" s="22"/>
      <c r="N1" s="22" t="s">
        <v>25</v>
      </c>
      <c r="O1" s="22"/>
      <c r="P1" s="22"/>
      <c r="Q1" s="22"/>
      <c r="R1" s="22"/>
      <c r="T1" s="22" t="s">
        <v>31</v>
      </c>
      <c r="U1" s="22"/>
      <c r="V1" s="22"/>
      <c r="W1" s="22"/>
      <c r="X1" s="22"/>
      <c r="Z1" s="22" t="s">
        <v>32</v>
      </c>
      <c r="AA1" s="22"/>
      <c r="AB1" s="22"/>
      <c r="AC1" s="22"/>
      <c r="AD1" s="22"/>
      <c r="AF1" s="22" t="s">
        <v>33</v>
      </c>
      <c r="AG1" s="22"/>
      <c r="AH1" s="22"/>
      <c r="AI1" s="22"/>
      <c r="AJ1" s="22"/>
    </row>
    <row r="2" spans="1:36" x14ac:dyDescent="0.25">
      <c r="A2" s="8" t="s">
        <v>51</v>
      </c>
      <c r="B2" s="3">
        <v>228.2235939643347</v>
      </c>
      <c r="C2" s="4">
        <v>10</v>
      </c>
      <c r="D2">
        <f>COUNTIF('Combinazioni Uscite'!B:B,premi!A2)-D12-D22</f>
        <v>1</v>
      </c>
      <c r="E2" s="7">
        <f>C2*Slot!D$6*D2</f>
        <v>100</v>
      </c>
      <c r="F2" s="4"/>
      <c r="H2" s="5"/>
      <c r="I2" s="5"/>
      <c r="J2" s="5"/>
      <c r="K2" s="5"/>
      <c r="L2" s="5"/>
      <c r="N2" s="1"/>
      <c r="O2" s="1"/>
      <c r="P2" s="1"/>
      <c r="Q2" s="1"/>
      <c r="R2" s="1"/>
      <c r="T2" s="1"/>
      <c r="U2" s="1"/>
      <c r="V2" s="1"/>
      <c r="W2" s="1"/>
      <c r="X2" s="1"/>
      <c r="Z2" s="1"/>
      <c r="AA2" s="1"/>
      <c r="AB2" s="1"/>
      <c r="AC2" s="1"/>
      <c r="AD2" s="1"/>
      <c r="AF2" s="1"/>
      <c r="AG2" s="1"/>
      <c r="AH2" s="1"/>
      <c r="AI2" s="1"/>
      <c r="AJ2" s="1"/>
    </row>
    <row r="3" spans="1:36" x14ac:dyDescent="0.25">
      <c r="A3" s="8" t="s">
        <v>52</v>
      </c>
      <c r="B3" s="3">
        <v>324.95117187500006</v>
      </c>
      <c r="C3" s="4">
        <v>16</v>
      </c>
      <c r="D3">
        <f>COUNTIF('Combinazioni Uscite'!B:B,premi!A3)-D13-D23</f>
        <v>0</v>
      </c>
      <c r="E3" s="7">
        <f>C3*Slot!D$6*D3</f>
        <v>0</v>
      </c>
      <c r="F3" s="4"/>
      <c r="H3" s="1"/>
      <c r="I3" s="1"/>
      <c r="J3" s="1"/>
      <c r="K3" s="1"/>
      <c r="L3" s="1"/>
      <c r="N3" s="6"/>
      <c r="O3" s="6"/>
      <c r="P3" s="6"/>
      <c r="Q3" s="6"/>
      <c r="R3" s="6"/>
      <c r="T3" s="1"/>
      <c r="U3" s="1"/>
      <c r="V3" s="1"/>
      <c r="W3" s="1"/>
      <c r="X3" s="1"/>
      <c r="Z3" s="1"/>
      <c r="AA3" s="1"/>
      <c r="AB3" s="1"/>
      <c r="AC3" s="1"/>
      <c r="AD3" s="1"/>
      <c r="AF3" s="1"/>
      <c r="AG3" s="1"/>
      <c r="AH3" s="1"/>
      <c r="AI3" s="1"/>
      <c r="AJ3" s="1"/>
    </row>
    <row r="4" spans="1:36" x14ac:dyDescent="0.25">
      <c r="A4" s="8" t="s">
        <v>53</v>
      </c>
      <c r="B4" s="3">
        <v>485.05830903790104</v>
      </c>
      <c r="C4" s="4">
        <v>24</v>
      </c>
      <c r="D4">
        <f>COUNTIF('Combinazioni Uscite'!B:B,premi!A4)-D14-D24</f>
        <v>0</v>
      </c>
      <c r="E4" s="7">
        <f>C4*Slot!D$6*D4</f>
        <v>0</v>
      </c>
      <c r="F4" s="4"/>
      <c r="H4" s="1"/>
      <c r="I4" s="1"/>
      <c r="J4" s="1"/>
      <c r="K4" s="1"/>
      <c r="L4" s="1"/>
      <c r="N4" s="1"/>
      <c r="O4" s="1"/>
      <c r="P4" s="1"/>
      <c r="Q4" s="1"/>
      <c r="R4" s="1"/>
      <c r="T4" s="6"/>
      <c r="U4" s="6"/>
      <c r="V4" s="6"/>
      <c r="W4" s="6"/>
      <c r="X4" s="6"/>
      <c r="Z4" s="1"/>
      <c r="AA4" s="1"/>
      <c r="AB4" s="1"/>
      <c r="AC4" s="1"/>
      <c r="AD4" s="1"/>
      <c r="AF4" s="1"/>
      <c r="AG4" s="1"/>
      <c r="AH4" s="1"/>
      <c r="AI4" s="1"/>
      <c r="AJ4" s="1"/>
    </row>
    <row r="5" spans="1:36" x14ac:dyDescent="0.25">
      <c r="A5" s="8" t="s">
        <v>54</v>
      </c>
      <c r="B5" s="3">
        <v>770.25462962962979</v>
      </c>
      <c r="C5" s="4">
        <v>36</v>
      </c>
      <c r="D5">
        <f>COUNTIF('Combinazioni Uscite'!B:B,premi!A5)-D15-D25</f>
        <v>0</v>
      </c>
      <c r="E5" s="7">
        <f>C5*Slot!D$6*D5</f>
        <v>0</v>
      </c>
      <c r="F5" s="4"/>
      <c r="H5" s="1"/>
      <c r="I5" s="1"/>
      <c r="J5" s="1"/>
      <c r="K5" s="1"/>
      <c r="L5" s="1"/>
      <c r="N5" s="1"/>
      <c r="O5" s="1"/>
      <c r="P5" s="1"/>
      <c r="Q5" s="1"/>
      <c r="R5" s="1"/>
      <c r="T5" s="1"/>
      <c r="U5" s="1"/>
      <c r="V5" s="1"/>
      <c r="W5" s="1"/>
      <c r="X5" s="1"/>
      <c r="Z5" s="6"/>
      <c r="AA5" s="6"/>
      <c r="AB5" s="6"/>
      <c r="AC5" s="6"/>
      <c r="AD5" s="6"/>
      <c r="AF5" s="1"/>
      <c r="AG5" s="1"/>
      <c r="AH5" s="1"/>
      <c r="AI5" s="1"/>
      <c r="AJ5" s="1"/>
    </row>
    <row r="6" spans="1:36" x14ac:dyDescent="0.25">
      <c r="A6" t="s">
        <v>8</v>
      </c>
      <c r="B6" s="3">
        <v>1331</v>
      </c>
      <c r="C6" s="4">
        <v>60</v>
      </c>
      <c r="D6">
        <f>COUNTIF('Combinazioni Uscite'!B:B,premi!A6)-D16-D26</f>
        <v>0</v>
      </c>
      <c r="E6" s="7">
        <f>C6*Slot!D$6*D6</f>
        <v>0</v>
      </c>
      <c r="F6" s="4"/>
      <c r="H6" s="1"/>
      <c r="I6" s="1"/>
      <c r="J6" s="1"/>
      <c r="K6" s="1"/>
      <c r="L6" s="1"/>
      <c r="N6" s="1"/>
      <c r="O6" s="1"/>
      <c r="P6" s="1"/>
      <c r="Q6" s="1"/>
      <c r="R6" s="1"/>
      <c r="T6" s="1"/>
      <c r="U6" s="1"/>
      <c r="V6" s="1"/>
      <c r="W6" s="1"/>
      <c r="X6" s="1"/>
      <c r="Z6" s="1"/>
      <c r="AA6" s="1"/>
      <c r="AB6" s="1"/>
      <c r="AC6" s="1"/>
      <c r="AD6" s="1"/>
      <c r="AF6" s="6"/>
      <c r="AG6" s="6"/>
      <c r="AH6" s="6"/>
      <c r="AI6" s="6"/>
      <c r="AJ6" s="6"/>
    </row>
    <row r="7" spans="1:36" x14ac:dyDescent="0.25">
      <c r="A7" t="s">
        <v>9</v>
      </c>
      <c r="B7" s="3">
        <v>2599.6093750000005</v>
      </c>
      <c r="C7" s="4">
        <v>120</v>
      </c>
      <c r="D7">
        <f>COUNTIF('Combinazioni Uscite'!B:B,premi!A7)-D17-D27</f>
        <v>0</v>
      </c>
      <c r="E7" s="7">
        <f>C7*Slot!D$6*D7</f>
        <v>0</v>
      </c>
      <c r="F7" s="4"/>
    </row>
    <row r="8" spans="1:36" x14ac:dyDescent="0.25">
      <c r="A8" t="s">
        <v>10</v>
      </c>
      <c r="B8" s="3">
        <v>6162.0370370370383</v>
      </c>
      <c r="C8" s="4">
        <v>300</v>
      </c>
      <c r="D8">
        <f>COUNTIF('Combinazioni Uscite'!B:B,premi!A8)-D18-D28</f>
        <v>0</v>
      </c>
      <c r="E8" s="7">
        <f>C8*Slot!D$6*D8</f>
        <v>0</v>
      </c>
      <c r="F8" s="4"/>
      <c r="H8" s="22" t="s">
        <v>26</v>
      </c>
      <c r="I8" s="22"/>
      <c r="J8" s="22"/>
      <c r="K8" s="22"/>
      <c r="L8" s="22"/>
      <c r="N8" s="22" t="s">
        <v>27</v>
      </c>
      <c r="O8" s="22"/>
      <c r="P8" s="22"/>
      <c r="Q8" s="22"/>
      <c r="R8" s="22"/>
      <c r="T8" s="22" t="s">
        <v>28</v>
      </c>
      <c r="U8" s="22"/>
      <c r="V8" s="22"/>
      <c r="W8" s="22"/>
      <c r="X8" s="22"/>
      <c r="Z8" s="22" t="s">
        <v>29</v>
      </c>
      <c r="AA8" s="22"/>
      <c r="AB8" s="22"/>
      <c r="AC8" s="22"/>
      <c r="AD8" s="22"/>
      <c r="AF8" s="22" t="s">
        <v>30</v>
      </c>
      <c r="AG8" s="22"/>
      <c r="AH8" s="22"/>
      <c r="AI8" s="22"/>
      <c r="AJ8" s="22"/>
    </row>
    <row r="9" spans="1:36" x14ac:dyDescent="0.25">
      <c r="A9" t="s">
        <v>11</v>
      </c>
      <c r="B9" s="3">
        <v>20796.875000000004</v>
      </c>
      <c r="C9" s="4">
        <v>1000</v>
      </c>
      <c r="D9">
        <f>COUNTIF('Combinazioni Uscite'!B:B,premi!A9)-D19-D29</f>
        <v>0</v>
      </c>
      <c r="E9" s="7">
        <f>C9*Slot!D$6*D9</f>
        <v>0</v>
      </c>
      <c r="F9" s="4"/>
      <c r="H9" s="6"/>
      <c r="I9" s="1"/>
      <c r="J9" s="1"/>
      <c r="K9" s="1"/>
      <c r="L9" s="1"/>
      <c r="N9" s="1"/>
      <c r="O9" s="1"/>
      <c r="P9" s="1"/>
      <c r="Q9" s="1"/>
      <c r="R9" s="6"/>
      <c r="T9" s="6"/>
      <c r="U9" s="1"/>
      <c r="V9" s="6"/>
      <c r="W9" s="1"/>
      <c r="X9" s="6"/>
      <c r="Z9" s="1"/>
      <c r="AA9" s="6"/>
      <c r="AB9" s="1"/>
      <c r="AC9" s="6"/>
      <c r="AD9" s="1"/>
      <c r="AF9" s="6"/>
      <c r="AG9" s="6"/>
      <c r="AH9" s="1"/>
      <c r="AI9" s="6"/>
      <c r="AJ9" s="6"/>
    </row>
    <row r="10" spans="1:36" x14ac:dyDescent="0.25">
      <c r="A10" t="s">
        <v>12</v>
      </c>
      <c r="B10" s="3">
        <v>166375.00000000003</v>
      </c>
      <c r="C10" s="4">
        <v>8000</v>
      </c>
      <c r="D10">
        <f>COUNTIF('Combinazioni Uscite'!B:B,premi!A10)-D20-D30</f>
        <v>0</v>
      </c>
      <c r="E10" s="7">
        <f>C10*Slot!D$6*D10</f>
        <v>0</v>
      </c>
      <c r="F10" s="4"/>
      <c r="H10" s="1"/>
      <c r="I10" s="6"/>
      <c r="J10" s="1"/>
      <c r="K10" s="1"/>
      <c r="L10" s="1"/>
      <c r="N10" s="1"/>
      <c r="O10" s="1"/>
      <c r="P10" s="1"/>
      <c r="Q10" s="6"/>
      <c r="R10" s="1"/>
      <c r="T10" s="1"/>
      <c r="U10" s="1"/>
      <c r="V10" s="1"/>
      <c r="W10" s="1"/>
      <c r="X10" s="1"/>
      <c r="Z10" s="1"/>
      <c r="AA10" s="1"/>
      <c r="AB10" s="1"/>
      <c r="AC10" s="1"/>
      <c r="AD10" s="1"/>
      <c r="AF10" s="1"/>
      <c r="AG10" s="1"/>
      <c r="AH10" s="1"/>
      <c r="AI10" s="1"/>
      <c r="AJ10" s="1"/>
    </row>
    <row r="11" spans="1:36" x14ac:dyDescent="0.25">
      <c r="A11" s="8" t="s">
        <v>55</v>
      </c>
      <c r="B11" s="3">
        <v>915.06249999999989</v>
      </c>
      <c r="C11" s="4">
        <v>40</v>
      </c>
      <c r="D11">
        <f>COUNTIF('Combinazioni Uscite'!B:B,premi!A11)-D21</f>
        <v>0</v>
      </c>
      <c r="E11" s="7">
        <f>C11*Slot!D$6*D11</f>
        <v>0</v>
      </c>
      <c r="F11" s="4"/>
      <c r="H11" s="1"/>
      <c r="I11" s="1"/>
      <c r="J11" s="6"/>
      <c r="K11" s="1"/>
      <c r="L11" s="1"/>
      <c r="N11" s="1"/>
      <c r="O11" s="1"/>
      <c r="P11" s="6"/>
      <c r="Q11" s="1"/>
      <c r="R11" s="1"/>
      <c r="T11" s="1"/>
      <c r="U11" s="1"/>
      <c r="V11" s="1"/>
      <c r="W11" s="1"/>
      <c r="X11" s="1"/>
      <c r="Z11" s="1"/>
      <c r="AA11" s="1"/>
      <c r="AB11" s="1"/>
      <c r="AC11" s="1"/>
      <c r="AD11" s="1"/>
      <c r="AF11" s="1"/>
      <c r="AG11" s="1"/>
      <c r="AH11" s="1"/>
      <c r="AI11" s="1"/>
      <c r="AJ11" s="1"/>
    </row>
    <row r="12" spans="1:36" x14ac:dyDescent="0.25">
      <c r="A12" s="8" t="s">
        <v>56</v>
      </c>
      <c r="B12" s="3">
        <v>1394.6997408931566</v>
      </c>
      <c r="C12" s="4">
        <v>60</v>
      </c>
      <c r="D12">
        <f>COUNTIF('Combinazioni Uscite'!B:B,premi!A12)-D22</f>
        <v>0</v>
      </c>
      <c r="E12" s="7">
        <f>C12*Slot!D$6*D12</f>
        <v>0</v>
      </c>
      <c r="F12" s="4"/>
      <c r="H12" s="1"/>
      <c r="I12" s="1"/>
      <c r="J12" s="1"/>
      <c r="K12" s="6"/>
      <c r="L12" s="1"/>
      <c r="N12" s="1"/>
      <c r="O12" s="6"/>
      <c r="P12" s="1"/>
      <c r="Q12" s="1"/>
      <c r="R12" s="1"/>
      <c r="T12" s="1"/>
      <c r="U12" s="1"/>
      <c r="V12" s="1"/>
      <c r="W12" s="1"/>
      <c r="X12" s="1"/>
      <c r="Z12" s="1"/>
      <c r="AA12" s="1"/>
      <c r="AB12" s="1"/>
      <c r="AC12" s="1"/>
      <c r="AD12" s="1"/>
      <c r="AF12" s="1"/>
      <c r="AG12" s="1"/>
      <c r="AH12" s="1"/>
      <c r="AI12" s="1"/>
      <c r="AJ12" s="1"/>
    </row>
    <row r="13" spans="1:36" x14ac:dyDescent="0.25">
      <c r="A13" s="8" t="s">
        <v>57</v>
      </c>
      <c r="B13" s="3">
        <v>2234.0393066406255</v>
      </c>
      <c r="C13" s="4">
        <v>100</v>
      </c>
      <c r="D13">
        <f>COUNTIF('Combinazioni Uscite'!B:B,premi!A13)-D23</f>
        <v>0</v>
      </c>
      <c r="E13" s="7">
        <f>C13*Slot!D$6*D13</f>
        <v>0</v>
      </c>
      <c r="F13" s="4"/>
      <c r="H13" s="1"/>
      <c r="I13" s="1"/>
      <c r="J13" s="1"/>
      <c r="K13" s="1"/>
      <c r="L13" s="6"/>
      <c r="N13" s="6"/>
      <c r="O13" s="1"/>
      <c r="P13" s="1"/>
      <c r="Q13" s="1"/>
      <c r="R13" s="1"/>
      <c r="T13" s="1"/>
      <c r="U13" s="6"/>
      <c r="V13" s="1"/>
      <c r="W13" s="6"/>
      <c r="X13" s="1"/>
      <c r="Z13" s="6"/>
      <c r="AA13" s="1"/>
      <c r="AB13" s="6"/>
      <c r="AC13" s="1"/>
      <c r="AD13" s="6"/>
      <c r="AF13" s="1"/>
      <c r="AG13" s="1"/>
      <c r="AH13" s="6"/>
      <c r="AI13" s="1"/>
      <c r="AJ13" s="1"/>
    </row>
    <row r="14" spans="1:36" x14ac:dyDescent="0.25">
      <c r="A14" s="8" t="s">
        <v>58</v>
      </c>
      <c r="B14" s="3">
        <v>3811.1724281549373</v>
      </c>
      <c r="C14" s="4">
        <v>180</v>
      </c>
      <c r="D14">
        <f>COUNTIF('Combinazioni Uscite'!B:B,premi!A14)-D24</f>
        <v>0</v>
      </c>
      <c r="E14" s="7">
        <f>C14*Slot!D$6*D14</f>
        <v>0</v>
      </c>
      <c r="F14" s="4"/>
    </row>
    <row r="15" spans="1:36" x14ac:dyDescent="0.25">
      <c r="A15" s="8" t="s">
        <v>50</v>
      </c>
      <c r="B15" s="3">
        <v>7060.6674382716055</v>
      </c>
      <c r="C15" s="4">
        <v>300</v>
      </c>
      <c r="D15">
        <f>COUNTIF('Combinazioni Uscite'!B:B,premi!A15)-D25</f>
        <v>0</v>
      </c>
      <c r="E15" s="7">
        <f>C15*Slot!D$6*D15</f>
        <v>0</v>
      </c>
      <c r="F15" s="4"/>
      <c r="H15" s="22" t="s">
        <v>34</v>
      </c>
      <c r="I15" s="22"/>
      <c r="J15" s="22"/>
      <c r="K15" s="22"/>
      <c r="L15" s="22"/>
      <c r="N15" s="22" t="s">
        <v>35</v>
      </c>
      <c r="O15" s="22"/>
      <c r="P15" s="22"/>
      <c r="Q15" s="22"/>
      <c r="R15" s="22"/>
      <c r="T15" s="22" t="s">
        <v>36</v>
      </c>
      <c r="U15" s="22"/>
      <c r="V15" s="22"/>
      <c r="W15" s="22"/>
      <c r="X15" s="22"/>
      <c r="Z15" s="22" t="s">
        <v>37</v>
      </c>
      <c r="AA15" s="22"/>
      <c r="AB15" s="22"/>
      <c r="AC15" s="22"/>
      <c r="AD15" s="22"/>
      <c r="AF15" s="22" t="s">
        <v>38</v>
      </c>
      <c r="AG15" s="22"/>
      <c r="AH15" s="22"/>
      <c r="AI15" s="22"/>
      <c r="AJ15" s="22"/>
    </row>
    <row r="16" spans="1:36" x14ac:dyDescent="0.25">
      <c r="A16" t="s">
        <v>13</v>
      </c>
      <c r="B16" s="3">
        <v>14640.999999999998</v>
      </c>
      <c r="C16" s="4">
        <v>600</v>
      </c>
      <c r="D16">
        <f>COUNTIF('Combinazioni Uscite'!B:B,premi!A16)-D26</f>
        <v>0</v>
      </c>
      <c r="E16" s="7">
        <f>C16*Slot!D$6*D16</f>
        <v>0</v>
      </c>
      <c r="F16" s="4"/>
      <c r="H16" s="1"/>
      <c r="I16" s="1"/>
      <c r="J16" s="6"/>
      <c r="K16" s="1"/>
      <c r="L16" s="1"/>
      <c r="N16" s="6"/>
      <c r="O16" s="6"/>
      <c r="P16" s="1"/>
      <c r="Q16" s="1"/>
      <c r="R16" s="1"/>
      <c r="T16" s="1"/>
      <c r="U16" s="1"/>
      <c r="V16" s="1"/>
      <c r="W16" s="6"/>
      <c r="X16" s="6"/>
      <c r="Z16" s="6"/>
      <c r="AA16" s="1"/>
      <c r="AB16" s="1"/>
      <c r="AC16" s="6"/>
      <c r="AD16" s="1"/>
      <c r="AF16" s="1"/>
      <c r="AG16" s="6"/>
      <c r="AH16" s="1"/>
      <c r="AI16" s="1"/>
      <c r="AJ16" s="1"/>
    </row>
    <row r="17" spans="1:36" x14ac:dyDescent="0.25">
      <c r="A17" t="s">
        <v>14</v>
      </c>
      <c r="B17" s="3">
        <v>35744.628906250007</v>
      </c>
      <c r="C17" s="4">
        <v>1600</v>
      </c>
      <c r="D17">
        <f>COUNTIF('Combinazioni Uscite'!B:B,premi!A17)-D27</f>
        <v>0</v>
      </c>
      <c r="E17" s="7">
        <f>C17*Slot!D$6*D17</f>
        <v>0</v>
      </c>
      <c r="F17" s="4"/>
      <c r="H17" s="1"/>
      <c r="I17" s="1"/>
      <c r="J17" s="1"/>
      <c r="K17" s="1"/>
      <c r="L17" s="1"/>
      <c r="N17" s="1"/>
      <c r="O17" s="1"/>
      <c r="P17" s="1"/>
      <c r="Q17" s="1"/>
      <c r="R17" s="1"/>
      <c r="T17" s="1"/>
      <c r="U17" s="1"/>
      <c r="V17" s="1"/>
      <c r="W17" s="1"/>
      <c r="X17" s="1"/>
      <c r="Z17" s="1"/>
      <c r="AA17" s="1"/>
      <c r="AB17" s="1"/>
      <c r="AC17" s="1"/>
      <c r="AD17" s="1"/>
      <c r="AF17" s="1"/>
      <c r="AG17" s="1"/>
      <c r="AH17" s="1"/>
      <c r="AI17" s="1"/>
      <c r="AJ17" s="1"/>
    </row>
    <row r="18" spans="1:36" x14ac:dyDescent="0.25">
      <c r="A18" t="s">
        <v>15</v>
      </c>
      <c r="B18" s="3">
        <v>112970.67901234569</v>
      </c>
      <c r="C18" s="4">
        <v>5000</v>
      </c>
      <c r="D18">
        <f>COUNTIF('Combinazioni Uscite'!B:B,premi!A18)-D28</f>
        <v>0</v>
      </c>
      <c r="E18" s="7">
        <f>C18*Slot!D$6*D18</f>
        <v>0</v>
      </c>
      <c r="F18" s="4"/>
      <c r="H18" s="1"/>
      <c r="I18" s="1"/>
      <c r="J18" s="1"/>
      <c r="K18" s="1"/>
      <c r="L18" s="1"/>
      <c r="N18" s="1"/>
      <c r="O18" s="1"/>
      <c r="P18" s="6"/>
      <c r="Q18" s="1"/>
      <c r="R18" s="1"/>
      <c r="T18" s="1"/>
      <c r="U18" s="1"/>
      <c r="V18" s="6"/>
      <c r="W18" s="1"/>
      <c r="X18" s="1"/>
      <c r="Z18" s="1"/>
      <c r="AA18" s="1"/>
      <c r="AB18" s="6"/>
      <c r="AC18" s="1"/>
      <c r="AD18" s="6"/>
      <c r="AF18" s="1"/>
      <c r="AG18" s="1"/>
      <c r="AH18" s="6"/>
      <c r="AI18" s="1"/>
      <c r="AJ18" s="6"/>
    </row>
    <row r="19" spans="1:36" x14ac:dyDescent="0.25">
      <c r="A19" t="s">
        <v>16</v>
      </c>
      <c r="B19" s="3">
        <v>571914.06250000012</v>
      </c>
      <c r="C19" s="4">
        <v>28000</v>
      </c>
      <c r="D19">
        <f>COUNTIF('Combinazioni Uscite'!B:B,premi!A19)-D29</f>
        <v>0</v>
      </c>
      <c r="E19" s="7">
        <f>C19*Slot!D$6*D19</f>
        <v>0</v>
      </c>
      <c r="F19" s="4"/>
      <c r="H19" s="1"/>
      <c r="I19" s="1"/>
      <c r="J19" s="1"/>
      <c r="K19" s="1"/>
      <c r="L19" s="1"/>
      <c r="N19" s="1"/>
      <c r="O19" s="1"/>
      <c r="P19" s="1"/>
      <c r="Q19" s="1"/>
      <c r="R19" s="1"/>
      <c r="T19" s="1"/>
      <c r="U19" s="1"/>
      <c r="V19" s="1"/>
      <c r="W19" s="1"/>
      <c r="X19" s="1"/>
      <c r="Z19" s="1"/>
      <c r="AA19" s="1"/>
      <c r="AB19" s="1"/>
      <c r="AC19" s="1"/>
      <c r="AD19" s="1"/>
      <c r="AF19" s="1"/>
      <c r="AG19" s="1"/>
      <c r="AH19" s="1"/>
      <c r="AI19" s="1"/>
      <c r="AJ19" s="1"/>
    </row>
    <row r="20" spans="1:36" x14ac:dyDescent="0.25">
      <c r="A20" t="s">
        <v>17</v>
      </c>
      <c r="B20" s="3">
        <v>9150625.0000000019</v>
      </c>
      <c r="C20" s="4">
        <v>400000</v>
      </c>
      <c r="D20">
        <f>COUNTIF('Combinazioni Uscite'!B:B,premi!A20)-D30</f>
        <v>0</v>
      </c>
      <c r="E20" s="7">
        <f>C20*Slot!D$6*D20</f>
        <v>0</v>
      </c>
      <c r="F20" s="4"/>
      <c r="H20" s="6"/>
      <c r="I20" s="6"/>
      <c r="J20" s="1"/>
      <c r="K20" s="6"/>
      <c r="L20" s="6"/>
      <c r="N20" s="1"/>
      <c r="O20" s="1"/>
      <c r="P20" s="1"/>
      <c r="Q20" s="6"/>
      <c r="R20" s="6"/>
      <c r="T20" s="6"/>
      <c r="U20" s="6"/>
      <c r="V20" s="1"/>
      <c r="W20" s="1"/>
      <c r="X20" s="1"/>
      <c r="Z20" s="1"/>
      <c r="AA20" s="6"/>
      <c r="AB20" s="1"/>
      <c r="AC20" s="1"/>
      <c r="AD20" s="1"/>
      <c r="AF20" s="6"/>
      <c r="AG20" s="1"/>
      <c r="AH20" s="1"/>
      <c r="AI20" s="6"/>
      <c r="AJ20" s="1"/>
    </row>
    <row r="21" spans="1:36" x14ac:dyDescent="0.25">
      <c r="A21" s="8" t="s">
        <v>59</v>
      </c>
      <c r="B21" s="3">
        <v>5032.84375</v>
      </c>
      <c r="C21" s="4">
        <v>200</v>
      </c>
      <c r="D21">
        <f>COUNTIF('Combinazioni Uscite'!B:B,premi!A21)</f>
        <v>0</v>
      </c>
      <c r="E21" s="7">
        <f>C21*Slot!D$6*D21</f>
        <v>0</v>
      </c>
      <c r="F21" s="4"/>
    </row>
    <row r="22" spans="1:36" x14ac:dyDescent="0.25">
      <c r="A22" s="8" t="s">
        <v>60</v>
      </c>
      <c r="B22" s="3">
        <v>8523.1650832359574</v>
      </c>
      <c r="C22" s="4">
        <v>400</v>
      </c>
      <c r="D22">
        <f>COUNTIF('Combinazioni Uscite'!B:B,premi!A22)</f>
        <v>0</v>
      </c>
      <c r="E22" s="7">
        <f>C22*Slot!D$6*D22</f>
        <v>0</v>
      </c>
      <c r="F22" s="4"/>
      <c r="H22" s="22" t="s">
        <v>39</v>
      </c>
      <c r="I22" s="22"/>
      <c r="J22" s="22"/>
      <c r="K22" s="22"/>
      <c r="L22" s="22"/>
      <c r="N22" s="22" t="s">
        <v>40</v>
      </c>
      <c r="O22" s="22"/>
      <c r="P22" s="22"/>
      <c r="Q22" s="22"/>
      <c r="R22" s="22"/>
      <c r="T22" s="22" t="s">
        <v>41</v>
      </c>
      <c r="U22" s="22"/>
      <c r="V22" s="22"/>
      <c r="W22" s="22"/>
      <c r="X22" s="22"/>
      <c r="Z22" s="22" t="s">
        <v>42</v>
      </c>
      <c r="AA22" s="22"/>
      <c r="AB22" s="22"/>
      <c r="AC22" s="22"/>
      <c r="AD22" s="22"/>
      <c r="AF22" s="22" t="s">
        <v>43</v>
      </c>
      <c r="AG22" s="22"/>
      <c r="AH22" s="22"/>
      <c r="AI22" s="22"/>
      <c r="AJ22" s="22"/>
    </row>
    <row r="23" spans="1:36" x14ac:dyDescent="0.25">
      <c r="A23" s="8" t="s">
        <v>61</v>
      </c>
      <c r="B23" s="3">
        <v>15359.020233154301</v>
      </c>
      <c r="C23" s="4">
        <v>600</v>
      </c>
      <c r="D23">
        <f>COUNTIF('Combinazioni Uscite'!B:B,premi!A23)</f>
        <v>0</v>
      </c>
      <c r="E23" s="7">
        <f>C23*Slot!D$6*D23</f>
        <v>0</v>
      </c>
      <c r="F23" s="4"/>
      <c r="H23" s="1"/>
      <c r="I23" s="1"/>
      <c r="J23" s="6"/>
      <c r="K23" s="1"/>
      <c r="L23" s="1"/>
      <c r="N23" s="1"/>
      <c r="O23" s="6"/>
      <c r="P23" s="1"/>
      <c r="Q23" s="6"/>
      <c r="R23" s="1"/>
      <c r="T23" s="1"/>
      <c r="U23" s="6"/>
      <c r="V23" s="1"/>
      <c r="W23" s="1"/>
      <c r="X23" s="1"/>
      <c r="Z23" s="1"/>
      <c r="AA23" s="1"/>
      <c r="AB23" s="1"/>
      <c r="AC23" s="1"/>
      <c r="AD23" s="1"/>
      <c r="AF23" s="1"/>
      <c r="AG23" s="1"/>
      <c r="AH23" s="1"/>
      <c r="AI23" s="1"/>
      <c r="AJ23" s="1"/>
    </row>
    <row r="24" spans="1:36" x14ac:dyDescent="0.25">
      <c r="A24" s="8" t="s">
        <v>62</v>
      </c>
      <c r="B24" s="3">
        <v>29944.926221217367</v>
      </c>
      <c r="C24" s="4">
        <v>1400</v>
      </c>
      <c r="D24">
        <f>COUNTIF('Combinazioni Uscite'!B:B,premi!A24)</f>
        <v>0</v>
      </c>
      <c r="E24" s="7">
        <f>C24*Slot!D$6*D24</f>
        <v>0</v>
      </c>
      <c r="F24" s="4"/>
      <c r="H24" s="6"/>
      <c r="I24" s="1"/>
      <c r="J24" s="1"/>
      <c r="K24" s="1"/>
      <c r="L24" s="6"/>
      <c r="N24" s="1"/>
      <c r="O24" s="1"/>
      <c r="P24" s="1"/>
      <c r="Q24" s="1"/>
      <c r="R24" s="1"/>
      <c r="T24" s="6"/>
      <c r="U24" s="1"/>
      <c r="V24" s="6"/>
      <c r="W24" s="1"/>
      <c r="X24" s="6"/>
      <c r="Z24" s="1"/>
      <c r="AA24" s="1"/>
      <c r="AB24" s="1"/>
      <c r="AC24" s="1"/>
      <c r="AD24" s="1"/>
      <c r="AF24" s="1"/>
      <c r="AG24" s="6"/>
      <c r="AH24" s="1"/>
      <c r="AI24" s="6"/>
      <c r="AJ24" s="1"/>
    </row>
    <row r="25" spans="1:36" x14ac:dyDescent="0.25">
      <c r="A25" s="8" t="s">
        <v>63</v>
      </c>
      <c r="B25" s="3">
        <v>64722.784850823053</v>
      </c>
      <c r="C25" s="4">
        <v>3000</v>
      </c>
      <c r="D25">
        <f>COUNTIF('Combinazioni Uscite'!B:B,premi!A25)</f>
        <v>0</v>
      </c>
      <c r="E25" s="7">
        <f>C25*Slot!D$6*D25</f>
        <v>0</v>
      </c>
      <c r="F25" s="4"/>
      <c r="H25" s="1"/>
      <c r="I25" s="1"/>
      <c r="J25" s="1"/>
      <c r="K25" s="1"/>
      <c r="L25" s="1"/>
      <c r="N25" s="1"/>
      <c r="O25" s="1"/>
      <c r="P25" s="1"/>
      <c r="Q25" s="1"/>
      <c r="R25" s="1"/>
      <c r="T25" s="1"/>
      <c r="U25" s="1"/>
      <c r="V25" s="1"/>
      <c r="W25" s="6"/>
      <c r="X25" s="1"/>
      <c r="Z25" s="1"/>
      <c r="AA25" s="1"/>
      <c r="AB25" s="1"/>
      <c r="AC25" s="6"/>
      <c r="AD25" s="1"/>
      <c r="AF25" s="6"/>
      <c r="AG25" s="1"/>
      <c r="AH25" s="1"/>
      <c r="AI25" s="1"/>
      <c r="AJ25" s="6"/>
    </row>
    <row r="26" spans="1:36" x14ac:dyDescent="0.25">
      <c r="A26" t="s">
        <v>18</v>
      </c>
      <c r="B26" s="3">
        <v>161051</v>
      </c>
      <c r="C26" s="4">
        <v>8000</v>
      </c>
      <c r="D26">
        <f>COUNTIF('Combinazioni Uscite'!B:B,premi!A26)</f>
        <v>0</v>
      </c>
      <c r="E26" s="7">
        <f>C26*Slot!D$6*D26</f>
        <v>0</v>
      </c>
      <c r="F26" s="4"/>
      <c r="H26" s="1"/>
      <c r="I26" s="1"/>
      <c r="J26" s="1"/>
      <c r="K26" s="1"/>
      <c r="L26" s="1"/>
      <c r="N26" s="6"/>
      <c r="O26" s="1"/>
      <c r="P26" s="1"/>
      <c r="Q26" s="1"/>
      <c r="R26" s="6"/>
      <c r="T26" s="1"/>
      <c r="U26" s="1"/>
      <c r="V26" s="1"/>
      <c r="W26" s="1"/>
      <c r="X26" s="1"/>
      <c r="Z26" s="6"/>
      <c r="AA26" s="1"/>
      <c r="AB26" s="6"/>
      <c r="AC26" s="1"/>
      <c r="AD26" s="6"/>
      <c r="AF26" s="1"/>
      <c r="AG26" s="1"/>
      <c r="AH26" s="6"/>
      <c r="AI26" s="1"/>
      <c r="AJ26" s="1"/>
    </row>
    <row r="27" spans="1:36" x14ac:dyDescent="0.25">
      <c r="A27" t="s">
        <v>19</v>
      </c>
      <c r="B27" s="3">
        <v>491488.64746093762</v>
      </c>
      <c r="C27" s="4">
        <v>20000</v>
      </c>
      <c r="D27">
        <f>COUNTIF('Combinazioni Uscite'!B:B,premi!A27)</f>
        <v>0</v>
      </c>
      <c r="E27" s="7">
        <f>C27*Slot!D$6*D27</f>
        <v>0</v>
      </c>
      <c r="F27" s="4"/>
      <c r="H27" s="1"/>
      <c r="I27" s="6"/>
      <c r="J27" s="1"/>
      <c r="K27" s="6"/>
      <c r="L27" s="1"/>
      <c r="N27" s="1"/>
      <c r="O27" s="1"/>
      <c r="P27" s="6"/>
      <c r="Q27" s="1"/>
      <c r="R27" s="1"/>
      <c r="T27" s="1"/>
      <c r="U27" s="1"/>
      <c r="V27" s="1"/>
      <c r="W27" s="1"/>
      <c r="X27" s="1"/>
      <c r="Z27" s="1"/>
      <c r="AA27" s="6"/>
      <c r="AB27" s="1"/>
      <c r="AC27" s="1"/>
      <c r="AD27" s="1"/>
      <c r="AF27" s="1"/>
      <c r="AG27" s="1"/>
      <c r="AH27" s="1"/>
      <c r="AI27" s="1"/>
      <c r="AJ27" s="1"/>
    </row>
    <row r="28" spans="1:36" x14ac:dyDescent="0.25">
      <c r="A28" t="s">
        <v>20</v>
      </c>
      <c r="B28" s="3">
        <v>2071129.1152263377</v>
      </c>
      <c r="C28" s="4">
        <v>100000</v>
      </c>
      <c r="D28">
        <f>COUNTIF('Combinazioni Uscite'!B:B,premi!A28)</f>
        <v>0</v>
      </c>
      <c r="E28" s="7">
        <f>C28*Slot!D$6*D28</f>
        <v>0</v>
      </c>
      <c r="F28" s="4"/>
    </row>
    <row r="29" spans="1:36" x14ac:dyDescent="0.25">
      <c r="A29" t="s">
        <v>21</v>
      </c>
      <c r="B29" s="3">
        <v>15727636.718750004</v>
      </c>
      <c r="C29" s="4">
        <v>600000</v>
      </c>
      <c r="D29">
        <f>COUNTIF('Combinazioni Uscite'!B:B,premi!A29)</f>
        <v>0</v>
      </c>
      <c r="E29" s="7">
        <f>C29*Slot!D$6*D29</f>
        <v>0</v>
      </c>
      <c r="F29" s="4"/>
      <c r="H29" s="22" t="s">
        <v>44</v>
      </c>
      <c r="I29" s="22"/>
      <c r="J29" s="22"/>
      <c r="K29" s="22"/>
      <c r="L29" s="22"/>
      <c r="N29" s="22" t="s">
        <v>45</v>
      </c>
      <c r="O29" s="22"/>
      <c r="P29" s="22"/>
      <c r="Q29" s="22"/>
      <c r="R29" s="22"/>
      <c r="T29" s="22" t="s">
        <v>46</v>
      </c>
      <c r="U29" s="22"/>
      <c r="V29" s="22"/>
      <c r="W29" s="22"/>
      <c r="X29" s="22"/>
      <c r="Z29" s="22" t="s">
        <v>47</v>
      </c>
      <c r="AA29" s="22"/>
      <c r="AB29" s="22"/>
      <c r="AC29" s="22"/>
      <c r="AD29" s="22"/>
      <c r="AF29" s="22" t="s">
        <v>48</v>
      </c>
      <c r="AG29" s="22"/>
      <c r="AH29" s="22"/>
      <c r="AI29" s="22"/>
      <c r="AJ29" s="22"/>
    </row>
    <row r="30" spans="1:36" x14ac:dyDescent="0.25">
      <c r="A30" t="s">
        <v>22</v>
      </c>
      <c r="B30" s="3">
        <v>503284375.00000012</v>
      </c>
      <c r="C30" s="4">
        <v>20000000</v>
      </c>
      <c r="D30">
        <f>COUNTIF('Combinazioni Uscite'!B:B,premi!A30)</f>
        <v>0</v>
      </c>
      <c r="E30" s="7">
        <f>C30*Slot!D$6*D30</f>
        <v>0</v>
      </c>
      <c r="F30" s="4"/>
      <c r="H30" s="1"/>
      <c r="I30" s="1"/>
      <c r="J30" s="1"/>
      <c r="K30" s="1"/>
      <c r="L30" s="1"/>
      <c r="N30" s="1"/>
      <c r="O30" s="1"/>
      <c r="P30" s="1"/>
      <c r="Q30" s="1"/>
      <c r="R30" s="1"/>
      <c r="T30" s="1"/>
      <c r="U30" s="1"/>
      <c r="V30" s="1"/>
      <c r="W30" s="1"/>
      <c r="X30" s="1"/>
      <c r="Z30" s="1"/>
      <c r="AA30" s="1"/>
      <c r="AB30" s="6"/>
      <c r="AC30" s="1"/>
      <c r="AD30" s="1"/>
      <c r="AF30" s="1"/>
      <c r="AG30" s="1"/>
      <c r="AH30" s="1"/>
      <c r="AI30" s="1"/>
      <c r="AJ30" s="1"/>
    </row>
    <row r="31" spans="1:36" x14ac:dyDescent="0.25">
      <c r="E31" s="7">
        <f>SUM(E1:E30)</f>
        <v>100</v>
      </c>
      <c r="H31" s="1"/>
      <c r="I31" s="1"/>
      <c r="J31" s="6"/>
      <c r="K31" s="1"/>
      <c r="L31" s="1"/>
      <c r="N31" s="6"/>
      <c r="O31" s="6"/>
      <c r="P31" s="1"/>
      <c r="Q31" s="6"/>
      <c r="R31" s="6"/>
      <c r="T31" s="1"/>
      <c r="U31" s="1"/>
      <c r="V31" s="6"/>
      <c r="W31" s="1"/>
      <c r="X31" s="1"/>
      <c r="Z31" s="1"/>
      <c r="AA31" s="6"/>
      <c r="AB31" s="1"/>
      <c r="AC31" s="6"/>
      <c r="AD31" s="1"/>
      <c r="AF31" s="1"/>
      <c r="AG31" s="1"/>
      <c r="AH31" s="1"/>
      <c r="AI31" s="1"/>
      <c r="AJ31" s="1"/>
    </row>
    <row r="32" spans="1:36" x14ac:dyDescent="0.25">
      <c r="H32" s="6"/>
      <c r="I32" s="1"/>
      <c r="J32" s="1"/>
      <c r="K32" s="1"/>
      <c r="L32" s="6"/>
      <c r="N32" s="1"/>
      <c r="O32" s="1"/>
      <c r="P32" s="1"/>
      <c r="Q32" s="1"/>
      <c r="R32" s="1"/>
      <c r="T32" s="1"/>
      <c r="U32" s="1"/>
      <c r="V32" s="1"/>
      <c r="W32" s="1"/>
      <c r="X32" s="1"/>
      <c r="Z32" s="6"/>
      <c r="AA32" s="1"/>
      <c r="AB32" s="1"/>
      <c r="AC32" s="1"/>
      <c r="AD32" s="6"/>
      <c r="AF32" s="6"/>
      <c r="AG32" s="1"/>
      <c r="AH32" s="1"/>
      <c r="AI32" s="1"/>
      <c r="AJ32" s="6"/>
    </row>
    <row r="33" spans="8:36" x14ac:dyDescent="0.25">
      <c r="H33" s="1"/>
      <c r="I33" s="6"/>
      <c r="J33" s="1"/>
      <c r="K33" s="6"/>
      <c r="L33" s="1"/>
      <c r="N33" s="1"/>
      <c r="O33" s="1"/>
      <c r="P33" s="6"/>
      <c r="Q33" s="1"/>
      <c r="R33" s="1"/>
      <c r="T33" s="6"/>
      <c r="U33" s="6"/>
      <c r="V33" s="1"/>
      <c r="W33" s="6"/>
      <c r="X33" s="6"/>
      <c r="Z33" s="1"/>
      <c r="AA33" s="1"/>
      <c r="AB33" s="1"/>
      <c r="AC33" s="1"/>
      <c r="AD33" s="1"/>
      <c r="AF33" s="1"/>
      <c r="AG33" s="6"/>
      <c r="AH33" s="1"/>
      <c r="AI33" s="6"/>
      <c r="AJ33" s="1"/>
    </row>
    <row r="34" spans="8:36" x14ac:dyDescent="0.25">
      <c r="H34" s="1"/>
      <c r="I34" s="1"/>
      <c r="J34" s="1"/>
      <c r="K34" s="1"/>
      <c r="L34" s="1"/>
      <c r="N34" s="1"/>
      <c r="O34" s="1"/>
      <c r="P34" s="1"/>
      <c r="Q34" s="1"/>
      <c r="R34" s="1"/>
      <c r="T34" s="1"/>
      <c r="U34" s="1"/>
      <c r="V34" s="1"/>
      <c r="W34" s="1"/>
      <c r="X34" s="1"/>
      <c r="Z34" s="1"/>
      <c r="AA34" s="1"/>
      <c r="AB34" s="1"/>
      <c r="AC34" s="1"/>
      <c r="AD34" s="1"/>
      <c r="AF34" s="1"/>
      <c r="AG34" s="1"/>
      <c r="AH34" s="6"/>
      <c r="AI34" s="1"/>
      <c r="AJ34" s="1"/>
    </row>
  </sheetData>
  <mergeCells count="25">
    <mergeCell ref="H29:L29"/>
    <mergeCell ref="N29:R29"/>
    <mergeCell ref="T29:X29"/>
    <mergeCell ref="Z29:AD29"/>
    <mergeCell ref="AF29:AJ29"/>
    <mergeCell ref="H15:L15"/>
    <mergeCell ref="N15:R15"/>
    <mergeCell ref="T15:X15"/>
    <mergeCell ref="Z15:AD15"/>
    <mergeCell ref="AF15:AJ15"/>
    <mergeCell ref="H22:L22"/>
    <mergeCell ref="N22:R22"/>
    <mergeCell ref="T22:X22"/>
    <mergeCell ref="Z22:AD22"/>
    <mergeCell ref="AF22:AJ22"/>
    <mergeCell ref="H1:L1"/>
    <mergeCell ref="N1:R1"/>
    <mergeCell ref="T1:X1"/>
    <mergeCell ref="Z1:AD1"/>
    <mergeCell ref="AF1:AJ1"/>
    <mergeCell ref="H8:L8"/>
    <mergeCell ref="N8:R8"/>
    <mergeCell ref="T8:X8"/>
    <mergeCell ref="Z8:AD8"/>
    <mergeCell ref="AF8:AJ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1:BL60"/>
  <sheetViews>
    <sheetView tabSelected="1" workbookViewId="0">
      <selection activeCell="BR4" sqref="BR4"/>
    </sheetView>
  </sheetViews>
  <sheetFormatPr defaultColWidth="2.140625" defaultRowHeight="11.25" customHeight="1" x14ac:dyDescent="0.25"/>
  <cols>
    <col min="1" max="1" width="3.28515625" customWidth="1"/>
    <col min="7" max="7" width="2.28515625" customWidth="1"/>
  </cols>
  <sheetData>
    <row r="1" spans="1:64" ht="11.25" customHeight="1" x14ac:dyDescent="0.25">
      <c r="A1" s="22" t="s">
        <v>24</v>
      </c>
      <c r="B1" s="22"/>
      <c r="C1" s="22"/>
      <c r="D1" s="22"/>
      <c r="E1" s="22"/>
      <c r="G1" s="22" t="s">
        <v>25</v>
      </c>
      <c r="H1" s="22"/>
      <c r="I1" s="22"/>
      <c r="J1" s="22"/>
      <c r="K1" s="22"/>
      <c r="M1" s="22" t="s">
        <v>31</v>
      </c>
      <c r="N1" s="22"/>
      <c r="O1" s="22"/>
      <c r="P1" s="22"/>
      <c r="Q1" s="22"/>
      <c r="S1" s="22" t="s">
        <v>32</v>
      </c>
      <c r="T1" s="22"/>
      <c r="U1" s="22"/>
      <c r="V1" s="22"/>
      <c r="W1" s="22"/>
      <c r="Y1" s="22" t="s">
        <v>33</v>
      </c>
      <c r="Z1" s="22"/>
      <c r="AA1" s="22"/>
      <c r="AB1" s="22"/>
      <c r="AC1" s="22"/>
      <c r="AJ1" s="22" t="s">
        <v>24</v>
      </c>
      <c r="AK1" s="22"/>
      <c r="AL1" s="22"/>
      <c r="AM1" s="22"/>
      <c r="AN1" s="22"/>
      <c r="AP1" s="22" t="s">
        <v>25</v>
      </c>
      <c r="AQ1" s="22"/>
      <c r="AR1" s="22"/>
      <c r="AS1" s="22"/>
      <c r="AT1" s="22"/>
      <c r="AV1" s="22" t="s">
        <v>31</v>
      </c>
      <c r="AW1" s="22"/>
      <c r="AX1" s="22"/>
      <c r="AY1" s="22"/>
      <c r="AZ1" s="22"/>
      <c r="BB1" s="22" t="s">
        <v>32</v>
      </c>
      <c r="BC1" s="22"/>
      <c r="BD1" s="22"/>
      <c r="BE1" s="22"/>
      <c r="BF1" s="22"/>
      <c r="BH1" s="22" t="s">
        <v>33</v>
      </c>
      <c r="BI1" s="22"/>
      <c r="BJ1" s="22"/>
      <c r="BK1" s="22"/>
      <c r="BL1" s="22"/>
    </row>
    <row r="2" spans="1:64" ht="11.25" customHeight="1" x14ac:dyDescent="0.25">
      <c r="A2" s="5"/>
      <c r="B2" s="5"/>
      <c r="C2" s="5"/>
      <c r="D2" s="5"/>
      <c r="E2" s="5"/>
      <c r="G2" s="1"/>
      <c r="H2" s="1"/>
      <c r="I2" s="1"/>
      <c r="J2" s="1"/>
      <c r="K2" s="1"/>
      <c r="M2" s="1"/>
      <c r="N2" s="1"/>
      <c r="O2" s="1"/>
      <c r="P2" s="1"/>
      <c r="Q2" s="1"/>
      <c r="S2" s="1"/>
      <c r="T2" s="1"/>
      <c r="U2" s="1"/>
      <c r="V2" s="1"/>
      <c r="W2" s="1"/>
      <c r="Y2" s="1"/>
      <c r="Z2" s="1"/>
      <c r="AA2" s="1"/>
      <c r="AB2" s="1"/>
      <c r="AC2" s="1"/>
      <c r="AJ2" s="1"/>
      <c r="AK2" s="1"/>
      <c r="AL2" s="1"/>
      <c r="AM2" s="1"/>
      <c r="AN2" s="1"/>
      <c r="AP2" s="5"/>
      <c r="AQ2" s="5"/>
      <c r="AR2" s="5"/>
      <c r="AS2" s="5"/>
      <c r="AT2" s="5"/>
      <c r="AV2" s="1"/>
      <c r="AW2" s="1"/>
      <c r="AX2" s="1"/>
      <c r="AY2" s="1"/>
      <c r="AZ2" s="1"/>
      <c r="BB2" s="6"/>
      <c r="BC2" s="1"/>
      <c r="BD2" s="1"/>
      <c r="BE2" s="1"/>
      <c r="BF2" s="6"/>
      <c r="BH2" s="1"/>
      <c r="BI2" s="1"/>
      <c r="BJ2" s="6"/>
      <c r="BK2" s="1"/>
      <c r="BL2" s="1"/>
    </row>
    <row r="3" spans="1:64" ht="11.25" customHeight="1" x14ac:dyDescent="0.25">
      <c r="A3" s="1"/>
      <c r="B3" s="1"/>
      <c r="C3" s="1"/>
      <c r="D3" s="1"/>
      <c r="E3" s="1"/>
      <c r="G3" s="6"/>
      <c r="H3" s="6"/>
      <c r="I3" s="6"/>
      <c r="J3" s="6"/>
      <c r="K3" s="6"/>
      <c r="M3" s="1"/>
      <c r="N3" s="1"/>
      <c r="O3" s="1"/>
      <c r="P3" s="1"/>
      <c r="Q3" s="1"/>
      <c r="S3" s="1"/>
      <c r="T3" s="1"/>
      <c r="U3" s="1"/>
      <c r="V3" s="1"/>
      <c r="W3" s="1"/>
      <c r="Y3" s="1"/>
      <c r="Z3" s="1"/>
      <c r="AA3" s="1"/>
      <c r="AB3" s="1"/>
      <c r="AC3" s="1"/>
      <c r="AJ3" s="6"/>
      <c r="AK3" s="6"/>
      <c r="AL3" s="6"/>
      <c r="AM3" s="6"/>
      <c r="AN3" s="6"/>
      <c r="AP3" s="1"/>
      <c r="AQ3" s="1"/>
      <c r="AR3" s="1"/>
      <c r="AS3" s="1"/>
      <c r="AT3" s="1"/>
      <c r="AV3" s="1"/>
      <c r="AW3" s="1"/>
      <c r="AX3" s="1"/>
      <c r="AY3" s="1"/>
      <c r="AZ3" s="1"/>
      <c r="BB3" s="1"/>
      <c r="BC3" s="6"/>
      <c r="BD3" s="1"/>
      <c r="BE3" s="6"/>
      <c r="BF3" s="1"/>
      <c r="BH3" s="1"/>
      <c r="BI3" s="6"/>
      <c r="BJ3" s="1"/>
      <c r="BK3" s="6"/>
      <c r="BL3" s="1"/>
    </row>
    <row r="4" spans="1:64" ht="11.25" customHeight="1" x14ac:dyDescent="0.25">
      <c r="A4" s="1"/>
      <c r="B4" s="1"/>
      <c r="C4" s="1"/>
      <c r="D4" s="1"/>
      <c r="E4" s="1"/>
      <c r="G4" s="1"/>
      <c r="H4" s="1"/>
      <c r="I4" s="1"/>
      <c r="J4" s="1"/>
      <c r="K4" s="1"/>
      <c r="M4" s="6"/>
      <c r="N4" s="6"/>
      <c r="O4" s="6"/>
      <c r="P4" s="6"/>
      <c r="Q4" s="6"/>
      <c r="S4" s="1"/>
      <c r="T4" s="1"/>
      <c r="U4" s="1"/>
      <c r="V4" s="1"/>
      <c r="W4" s="1"/>
      <c r="Y4" s="1"/>
      <c r="Z4" s="1"/>
      <c r="AA4" s="1"/>
      <c r="AB4" s="1"/>
      <c r="AC4" s="1"/>
      <c r="AJ4" s="1"/>
      <c r="AK4" s="1"/>
      <c r="AL4" s="1"/>
      <c r="AM4" s="1"/>
      <c r="AN4" s="1"/>
      <c r="AP4" s="1"/>
      <c r="AQ4" s="1"/>
      <c r="AR4" s="1"/>
      <c r="AS4" s="1"/>
      <c r="AT4" s="1"/>
      <c r="AV4" s="6"/>
      <c r="AW4" s="6"/>
      <c r="AX4" s="6"/>
      <c r="AY4" s="6"/>
      <c r="AZ4" s="6"/>
      <c r="BB4" s="1"/>
      <c r="BC4" s="1"/>
      <c r="BD4" s="6"/>
      <c r="BE4" s="1"/>
      <c r="BF4" s="1"/>
      <c r="BH4" s="6"/>
      <c r="BI4" s="1"/>
      <c r="BJ4" s="1"/>
      <c r="BK4" s="1"/>
      <c r="BL4" s="6"/>
    </row>
    <row r="5" spans="1:64" ht="11.25" customHeight="1" x14ac:dyDescent="0.25">
      <c r="A5" s="1"/>
      <c r="B5" s="1"/>
      <c r="C5" s="1"/>
      <c r="D5" s="1"/>
      <c r="E5" s="1"/>
      <c r="G5" s="1"/>
      <c r="H5" s="1"/>
      <c r="I5" s="1"/>
      <c r="J5" s="1"/>
      <c r="K5" s="1"/>
      <c r="M5" s="1"/>
      <c r="N5" s="1"/>
      <c r="O5" s="1"/>
      <c r="P5" s="1"/>
      <c r="Q5" s="1"/>
      <c r="S5" s="6"/>
      <c r="T5" s="6"/>
      <c r="U5" s="6"/>
      <c r="V5" s="6"/>
      <c r="W5" s="6"/>
      <c r="Y5" s="1"/>
      <c r="Z5" s="1"/>
      <c r="AA5" s="1"/>
      <c r="AB5" s="1"/>
      <c r="AC5" s="1"/>
      <c r="AJ5" s="22" t="s">
        <v>26</v>
      </c>
      <c r="AK5" s="22"/>
      <c r="AL5" s="22"/>
      <c r="AM5" s="22"/>
      <c r="AN5" s="22"/>
      <c r="AP5" s="22" t="s">
        <v>27</v>
      </c>
      <c r="AQ5" s="22"/>
      <c r="AR5" s="22"/>
      <c r="AS5" s="22"/>
      <c r="AT5" s="22"/>
      <c r="AV5" s="22" t="s">
        <v>28</v>
      </c>
      <c r="AW5" s="22"/>
      <c r="AX5" s="22"/>
      <c r="AY5" s="22"/>
      <c r="AZ5" s="22"/>
      <c r="BB5" s="22" t="s">
        <v>29</v>
      </c>
      <c r="BC5" s="22"/>
      <c r="BD5" s="22"/>
      <c r="BE5" s="22"/>
      <c r="BF5" s="22"/>
      <c r="BH5" s="22" t="s">
        <v>30</v>
      </c>
      <c r="BI5" s="22"/>
      <c r="BJ5" s="22"/>
      <c r="BK5" s="22"/>
      <c r="BL5" s="22"/>
    </row>
    <row r="6" spans="1:64" ht="11.25" customHeight="1" x14ac:dyDescent="0.25">
      <c r="A6" s="1"/>
      <c r="B6" s="1"/>
      <c r="C6" s="1"/>
      <c r="D6" s="1"/>
      <c r="E6" s="1"/>
      <c r="G6" s="1"/>
      <c r="H6" s="1"/>
      <c r="I6" s="1"/>
      <c r="J6" s="1"/>
      <c r="K6" s="1"/>
      <c r="M6" s="1"/>
      <c r="N6" s="1"/>
      <c r="O6" s="1"/>
      <c r="P6" s="1"/>
      <c r="Q6" s="1"/>
      <c r="S6" s="1"/>
      <c r="T6" s="1"/>
      <c r="U6" s="1"/>
      <c r="V6" s="1"/>
      <c r="W6" s="1"/>
      <c r="Y6" s="6"/>
      <c r="Z6" s="6"/>
      <c r="AA6" s="6"/>
      <c r="AB6" s="6"/>
      <c r="AC6" s="6"/>
      <c r="AJ6" s="1"/>
      <c r="AK6" s="1"/>
      <c r="AL6" s="6"/>
      <c r="AM6" s="1"/>
      <c r="AN6" s="1"/>
      <c r="AP6" s="1"/>
      <c r="AQ6" s="6"/>
      <c r="AR6" s="1"/>
      <c r="AS6" s="6"/>
      <c r="AT6" s="1"/>
      <c r="AV6" s="1"/>
      <c r="AW6" s="1"/>
      <c r="AX6" s="1"/>
      <c r="AY6" s="6"/>
      <c r="AZ6" s="1"/>
      <c r="BB6" s="1"/>
      <c r="BC6" s="6"/>
      <c r="BD6" s="1"/>
      <c r="BE6" s="1"/>
      <c r="BF6" s="1"/>
      <c r="BH6" s="1"/>
      <c r="BI6" s="1"/>
      <c r="BJ6" s="6"/>
      <c r="BK6" s="1"/>
      <c r="BL6" s="1"/>
    </row>
    <row r="7" spans="1:64" ht="11.25" customHeight="1" x14ac:dyDescent="0.25">
      <c r="AJ7" s="6"/>
      <c r="AK7" s="1"/>
      <c r="AL7" s="1"/>
      <c r="AM7" s="1"/>
      <c r="AN7" s="6"/>
      <c r="AP7" s="6"/>
      <c r="AQ7" s="1"/>
      <c r="AR7" s="1"/>
      <c r="AS7" s="1"/>
      <c r="AT7" s="6"/>
      <c r="AV7" s="6"/>
      <c r="AW7" s="1"/>
      <c r="AX7" s="6"/>
      <c r="AY7" s="1"/>
      <c r="AZ7" s="6"/>
      <c r="BB7" s="6"/>
      <c r="BC7" s="1"/>
      <c r="BD7" s="6"/>
      <c r="BE7" s="1"/>
      <c r="BF7" s="6"/>
      <c r="BH7" s="1"/>
      <c r="BI7" s="1"/>
      <c r="BJ7" s="1"/>
      <c r="BK7" s="1"/>
      <c r="BL7" s="1"/>
    </row>
    <row r="8" spans="1:64" ht="11.25" customHeight="1" x14ac:dyDescent="0.25">
      <c r="A8" s="22" t="s">
        <v>26</v>
      </c>
      <c r="B8" s="22"/>
      <c r="C8" s="22"/>
      <c r="D8" s="22"/>
      <c r="E8" s="22"/>
      <c r="G8" s="22" t="s">
        <v>27</v>
      </c>
      <c r="H8" s="22"/>
      <c r="I8" s="22"/>
      <c r="J8" s="22"/>
      <c r="K8" s="22"/>
      <c r="M8" s="22" t="s">
        <v>28</v>
      </c>
      <c r="N8" s="22"/>
      <c r="O8" s="22"/>
      <c r="P8" s="22"/>
      <c r="Q8" s="22"/>
      <c r="S8" s="22" t="s">
        <v>29</v>
      </c>
      <c r="T8" s="22"/>
      <c r="U8" s="22"/>
      <c r="V8" s="22"/>
      <c r="W8" s="22"/>
      <c r="Y8" s="22" t="s">
        <v>30</v>
      </c>
      <c r="Z8" s="22"/>
      <c r="AA8" s="22"/>
      <c r="AB8" s="22"/>
      <c r="AC8" s="22"/>
      <c r="AJ8" s="1"/>
      <c r="AK8" s="6"/>
      <c r="AL8" s="1"/>
      <c r="AM8" s="6"/>
      <c r="AN8" s="1"/>
      <c r="AP8" s="1"/>
      <c r="AQ8" s="1"/>
      <c r="AR8" s="6"/>
      <c r="AS8" s="1"/>
      <c r="AT8" s="1"/>
      <c r="AV8" s="1"/>
      <c r="AW8" s="6"/>
      <c r="AX8" s="1"/>
      <c r="AY8" s="1"/>
      <c r="AZ8" s="1"/>
      <c r="BB8" s="1"/>
      <c r="BC8" s="1"/>
      <c r="BD8" s="1"/>
      <c r="BE8" s="6"/>
      <c r="BF8" s="1"/>
      <c r="BH8" s="6"/>
      <c r="BI8" s="6"/>
      <c r="BJ8" s="1"/>
      <c r="BK8" s="6"/>
      <c r="BL8" s="6"/>
    </row>
    <row r="9" spans="1:64" ht="11.25" customHeight="1" x14ac:dyDescent="0.25">
      <c r="A9" s="6"/>
      <c r="B9" s="1"/>
      <c r="C9" s="1"/>
      <c r="D9" s="1"/>
      <c r="E9" s="1"/>
      <c r="G9" s="1"/>
      <c r="H9" s="1"/>
      <c r="I9" s="1"/>
      <c r="J9" s="1"/>
      <c r="K9" s="6"/>
      <c r="M9" s="6"/>
      <c r="N9" s="1"/>
      <c r="O9" s="6"/>
      <c r="P9" s="1"/>
      <c r="Q9" s="6"/>
      <c r="S9" s="1"/>
      <c r="T9" s="6"/>
      <c r="U9" s="1"/>
      <c r="V9" s="6"/>
      <c r="W9" s="1"/>
      <c r="Y9" s="6"/>
      <c r="Z9" s="6"/>
      <c r="AA9" s="1"/>
      <c r="AB9" s="6"/>
      <c r="AC9" s="6"/>
      <c r="AJ9" s="22" t="s">
        <v>34</v>
      </c>
      <c r="AK9" s="22"/>
      <c r="AL9" s="22"/>
      <c r="AM9" s="22"/>
      <c r="AN9" s="22"/>
      <c r="AP9" s="22" t="s">
        <v>35</v>
      </c>
      <c r="AQ9" s="22"/>
      <c r="AR9" s="22"/>
      <c r="AS9" s="22"/>
      <c r="AT9" s="22"/>
      <c r="AV9" s="22" t="s">
        <v>36</v>
      </c>
      <c r="AW9" s="22"/>
      <c r="AX9" s="22"/>
      <c r="AY9" s="22"/>
      <c r="AZ9" s="22"/>
      <c r="BB9" s="22" t="s">
        <v>37</v>
      </c>
      <c r="BC9" s="22"/>
      <c r="BD9" s="22"/>
      <c r="BE9" s="22"/>
      <c r="BF9" s="22"/>
      <c r="BH9" s="22" t="s">
        <v>38</v>
      </c>
      <c r="BI9" s="22"/>
      <c r="BJ9" s="22"/>
      <c r="BK9" s="22"/>
      <c r="BL9" s="22"/>
    </row>
    <row r="10" spans="1:64" ht="11.25" customHeight="1" x14ac:dyDescent="0.25">
      <c r="A10" s="1"/>
      <c r="B10" s="6"/>
      <c r="C10" s="1"/>
      <c r="D10" s="1"/>
      <c r="E10" s="1"/>
      <c r="G10" s="1"/>
      <c r="H10" s="1"/>
      <c r="I10" s="1"/>
      <c r="J10" s="6"/>
      <c r="K10" s="1"/>
      <c r="M10" s="1"/>
      <c r="N10" s="1"/>
      <c r="O10" s="1"/>
      <c r="P10" s="1"/>
      <c r="Q10" s="1"/>
      <c r="S10" s="1"/>
      <c r="T10" s="1"/>
      <c r="U10" s="1"/>
      <c r="V10" s="1"/>
      <c r="W10" s="1"/>
      <c r="Y10" s="1"/>
      <c r="Z10" s="1"/>
      <c r="AA10" s="1"/>
      <c r="AB10" s="1"/>
      <c r="AC10" s="1"/>
      <c r="AJ10" s="6"/>
      <c r="AK10" s="1"/>
      <c r="AL10" s="6"/>
      <c r="AM10" s="1"/>
      <c r="AN10" s="6"/>
      <c r="AP10" s="1"/>
      <c r="AQ10" s="6"/>
      <c r="AR10" s="1"/>
      <c r="AS10" s="6"/>
      <c r="AT10" s="1"/>
      <c r="AV10" s="6"/>
      <c r="AW10" s="6"/>
      <c r="AX10" s="1"/>
      <c r="AY10" s="1"/>
      <c r="AZ10" s="1"/>
      <c r="BB10" s="1"/>
      <c r="BC10" s="1"/>
      <c r="BD10" s="1"/>
      <c r="BE10" s="6"/>
      <c r="BF10" s="6"/>
      <c r="BH10" s="6"/>
      <c r="BI10" s="6"/>
      <c r="BJ10" s="1"/>
      <c r="BK10" s="6"/>
      <c r="BL10" s="6"/>
    </row>
    <row r="11" spans="1:64" ht="11.25" customHeight="1" x14ac:dyDescent="0.25">
      <c r="A11" s="1"/>
      <c r="B11" s="1"/>
      <c r="C11" s="6"/>
      <c r="D11" s="1"/>
      <c r="E11" s="1"/>
      <c r="G11" s="1"/>
      <c r="H11" s="1"/>
      <c r="I11" s="6"/>
      <c r="J11" s="1"/>
      <c r="K11" s="1"/>
      <c r="M11" s="1"/>
      <c r="N11" s="1"/>
      <c r="O11" s="1"/>
      <c r="P11" s="1"/>
      <c r="Q11" s="1"/>
      <c r="S11" s="1"/>
      <c r="T11" s="1"/>
      <c r="U11" s="1"/>
      <c r="V11" s="1"/>
      <c r="W11" s="1"/>
      <c r="Y11" s="1"/>
      <c r="Z11" s="1"/>
      <c r="AA11" s="1"/>
      <c r="AB11" s="1"/>
      <c r="AC11" s="1"/>
      <c r="AJ11" s="1"/>
      <c r="AK11" s="1"/>
      <c r="AL11" s="1"/>
      <c r="AM11" s="1"/>
      <c r="AN11" s="1"/>
      <c r="AP11" s="1"/>
      <c r="AQ11" s="1"/>
      <c r="AR11" s="1"/>
      <c r="AS11" s="1"/>
      <c r="AT11" s="1"/>
      <c r="AV11" s="1"/>
      <c r="AW11" s="1"/>
      <c r="AX11" s="6"/>
      <c r="AY11" s="1"/>
      <c r="AZ11" s="1"/>
      <c r="BB11" s="1"/>
      <c r="BC11" s="1"/>
      <c r="BD11" s="6"/>
      <c r="BE11" s="1"/>
      <c r="BF11" s="1"/>
      <c r="BH11" s="1"/>
      <c r="BI11" s="1"/>
      <c r="BJ11" s="1"/>
      <c r="BK11" s="1"/>
      <c r="BL11" s="1"/>
    </row>
    <row r="12" spans="1:64" ht="11.25" customHeight="1" x14ac:dyDescent="0.25">
      <c r="A12" s="1"/>
      <c r="B12" s="1"/>
      <c r="C12" s="1"/>
      <c r="D12" s="6"/>
      <c r="E12" s="1"/>
      <c r="G12" s="1"/>
      <c r="H12" s="6"/>
      <c r="I12" s="1"/>
      <c r="J12" s="1"/>
      <c r="K12" s="1"/>
      <c r="M12" s="1"/>
      <c r="N12" s="1"/>
      <c r="O12" s="1"/>
      <c r="P12" s="1"/>
      <c r="Q12" s="1"/>
      <c r="S12" s="1"/>
      <c r="T12" s="1"/>
      <c r="U12" s="1"/>
      <c r="V12" s="1"/>
      <c r="W12" s="1"/>
      <c r="Y12" s="1"/>
      <c r="Z12" s="1"/>
      <c r="AA12" s="1"/>
      <c r="AB12" s="1"/>
      <c r="AC12" s="1"/>
      <c r="AJ12" s="1"/>
      <c r="AK12" s="6"/>
      <c r="AL12" s="1"/>
      <c r="AM12" s="6"/>
      <c r="AN12" s="1"/>
      <c r="AP12" s="6"/>
      <c r="AQ12" s="1"/>
      <c r="AR12" s="6"/>
      <c r="AS12" s="1"/>
      <c r="AT12" s="6"/>
      <c r="AV12" s="1"/>
      <c r="AW12" s="1"/>
      <c r="AX12" s="1"/>
      <c r="AY12" s="6"/>
      <c r="AZ12" s="6"/>
      <c r="BB12" s="6"/>
      <c r="BC12" s="6"/>
      <c r="BD12" s="1"/>
      <c r="BE12" s="1"/>
      <c r="BF12" s="1"/>
      <c r="BH12" s="1"/>
      <c r="BI12" s="1"/>
      <c r="BJ12" s="6"/>
      <c r="BK12" s="1"/>
      <c r="BL12" s="1"/>
    </row>
    <row r="13" spans="1:64" ht="11.25" customHeight="1" x14ac:dyDescent="0.25">
      <c r="A13" s="1"/>
      <c r="B13" s="1"/>
      <c r="C13" s="1"/>
      <c r="D13" s="1"/>
      <c r="E13" s="6"/>
      <c r="G13" s="6"/>
      <c r="H13" s="1"/>
      <c r="I13" s="1"/>
      <c r="J13" s="1"/>
      <c r="K13" s="1"/>
      <c r="M13" s="1"/>
      <c r="N13" s="6"/>
      <c r="O13" s="1"/>
      <c r="P13" s="6"/>
      <c r="Q13" s="1"/>
      <c r="S13" s="6"/>
      <c r="T13" s="1"/>
      <c r="U13" s="6"/>
      <c r="V13" s="1"/>
      <c r="W13" s="6"/>
      <c r="Y13" s="1"/>
      <c r="Z13" s="1"/>
      <c r="AA13" s="6"/>
      <c r="AB13" s="1"/>
      <c r="AC13" s="1"/>
      <c r="AJ13" s="22" t="s">
        <v>39</v>
      </c>
      <c r="AK13" s="22"/>
      <c r="AL13" s="22"/>
      <c r="AM13" s="22"/>
      <c r="AN13" s="22"/>
      <c r="AP13" s="22" t="s">
        <v>40</v>
      </c>
      <c r="AQ13" s="22"/>
      <c r="AR13" s="22"/>
      <c r="AS13" s="22"/>
      <c r="AT13" s="22"/>
      <c r="AV13" s="22" t="s">
        <v>41</v>
      </c>
      <c r="AW13" s="22"/>
      <c r="AX13" s="22"/>
      <c r="AY13" s="22"/>
      <c r="AZ13" s="22"/>
      <c r="BB13" s="22" t="s">
        <v>42</v>
      </c>
      <c r="BC13" s="22"/>
      <c r="BD13" s="22"/>
      <c r="BE13" s="22"/>
      <c r="BF13" s="22"/>
      <c r="BH13" s="22" t="s">
        <v>43</v>
      </c>
      <c r="BI13" s="22"/>
      <c r="BJ13" s="22"/>
      <c r="BK13" s="22"/>
      <c r="BL13" s="22"/>
    </row>
    <row r="14" spans="1:64" ht="11.25" customHeight="1" x14ac:dyDescent="0.25">
      <c r="AJ14" s="6"/>
      <c r="AK14" s="1"/>
      <c r="AL14" s="6"/>
      <c r="AM14" s="1"/>
      <c r="AN14" s="6"/>
      <c r="AP14" s="1"/>
      <c r="AQ14" s="1"/>
      <c r="AR14" s="1"/>
      <c r="AS14" s="1"/>
      <c r="AT14" s="1"/>
      <c r="AV14" s="1"/>
      <c r="AW14" s="6"/>
      <c r="AX14" s="1"/>
      <c r="AY14" s="6"/>
      <c r="AZ14" s="1"/>
      <c r="BB14" s="1"/>
      <c r="BC14" s="1"/>
      <c r="BD14" s="1"/>
      <c r="BE14" s="1"/>
      <c r="BF14" s="1"/>
      <c r="BH14" s="6"/>
      <c r="BI14" s="1"/>
      <c r="BJ14" s="1"/>
      <c r="BK14" s="1"/>
      <c r="BL14" s="6"/>
    </row>
    <row r="15" spans="1:64" ht="11.25" customHeight="1" x14ac:dyDescent="0.25">
      <c r="A15" s="22" t="s">
        <v>34</v>
      </c>
      <c r="B15" s="22"/>
      <c r="C15" s="22"/>
      <c r="D15" s="22"/>
      <c r="E15" s="22"/>
      <c r="G15" s="22" t="s">
        <v>35</v>
      </c>
      <c r="H15" s="22"/>
      <c r="I15" s="22"/>
      <c r="J15" s="22"/>
      <c r="K15" s="22"/>
      <c r="M15" s="22" t="s">
        <v>36</v>
      </c>
      <c r="N15" s="22"/>
      <c r="O15" s="22"/>
      <c r="P15" s="22"/>
      <c r="Q15" s="22"/>
      <c r="S15" s="22" t="s">
        <v>37</v>
      </c>
      <c r="T15" s="22"/>
      <c r="U15" s="22"/>
      <c r="V15" s="22"/>
      <c r="W15" s="22"/>
      <c r="Y15" s="22" t="s">
        <v>38</v>
      </c>
      <c r="Z15" s="22"/>
      <c r="AA15" s="22"/>
      <c r="AB15" s="22"/>
      <c r="AC15" s="22"/>
      <c r="AJ15" s="1"/>
      <c r="AK15" s="6"/>
      <c r="AL15" s="1"/>
      <c r="AM15" s="6"/>
      <c r="AN15" s="1"/>
      <c r="AP15" s="6"/>
      <c r="AQ15" s="1"/>
      <c r="AR15" s="6"/>
      <c r="AS15" s="1"/>
      <c r="AT15" s="6"/>
      <c r="AV15" s="6"/>
      <c r="AW15" s="1"/>
      <c r="AX15" s="6"/>
      <c r="AY15" s="1"/>
      <c r="AZ15" s="6"/>
      <c r="BB15" s="1"/>
      <c r="BC15" s="6"/>
      <c r="BD15" s="1"/>
      <c r="BE15" s="6"/>
      <c r="BF15" s="1"/>
      <c r="BH15" s="1"/>
      <c r="BI15" s="1"/>
      <c r="BJ15" s="1"/>
      <c r="BK15" s="1"/>
      <c r="BL15" s="1"/>
    </row>
    <row r="16" spans="1:64" ht="11.25" customHeight="1" x14ac:dyDescent="0.25">
      <c r="A16" s="1"/>
      <c r="B16" s="1"/>
      <c r="C16" s="6"/>
      <c r="D16" s="1"/>
      <c r="E16" s="1"/>
      <c r="G16" s="6"/>
      <c r="H16" s="6"/>
      <c r="I16" s="1"/>
      <c r="J16" s="1"/>
      <c r="K16" s="1"/>
      <c r="M16" s="1"/>
      <c r="N16" s="1"/>
      <c r="O16" s="1"/>
      <c r="P16" s="6"/>
      <c r="Q16" s="6"/>
      <c r="S16" s="6"/>
      <c r="T16" s="1"/>
      <c r="U16" s="1"/>
      <c r="V16" s="6"/>
      <c r="W16" s="1"/>
      <c r="Y16" s="1"/>
      <c r="Z16" s="6"/>
      <c r="AA16" s="1"/>
      <c r="AB16" s="1"/>
      <c r="AC16" s="1"/>
      <c r="AJ16" s="1"/>
      <c r="AK16" s="1"/>
      <c r="AL16" s="1"/>
      <c r="AM16" s="1"/>
      <c r="AN16" s="1"/>
      <c r="AP16" s="1"/>
      <c r="AQ16" s="6"/>
      <c r="AR16" s="1"/>
      <c r="AS16" s="6"/>
      <c r="AT16" s="1"/>
      <c r="AV16" s="1"/>
      <c r="AW16" s="1"/>
      <c r="AX16" s="1"/>
      <c r="AY16" s="1"/>
      <c r="AZ16" s="1"/>
      <c r="BB16" s="6"/>
      <c r="BC16" s="1"/>
      <c r="BD16" s="6"/>
      <c r="BE16" s="1"/>
      <c r="BF16" s="6"/>
      <c r="BH16" s="1"/>
      <c r="BI16" s="6"/>
      <c r="BJ16" s="6"/>
      <c r="BK16" s="6"/>
      <c r="BL16" s="1"/>
    </row>
    <row r="17" spans="1:64" ht="11.25" customHeight="1" x14ac:dyDescent="0.25">
      <c r="A17" s="1"/>
      <c r="B17" s="1"/>
      <c r="C17" s="1"/>
      <c r="D17" s="1"/>
      <c r="E17" s="1"/>
      <c r="G17" s="1"/>
      <c r="H17" s="1"/>
      <c r="I17" s="1"/>
      <c r="J17" s="1"/>
      <c r="K17" s="1"/>
      <c r="M17" s="1"/>
      <c r="N17" s="1"/>
      <c r="O17" s="1"/>
      <c r="P17" s="1"/>
      <c r="Q17" s="1"/>
      <c r="S17" s="1"/>
      <c r="T17" s="1"/>
      <c r="U17" s="1"/>
      <c r="V17" s="1"/>
      <c r="W17" s="1"/>
      <c r="Y17" s="1"/>
      <c r="Z17" s="1"/>
      <c r="AA17" s="1"/>
      <c r="AB17" s="1"/>
      <c r="AC17" s="1"/>
      <c r="AJ17" s="22" t="s">
        <v>44</v>
      </c>
      <c r="AK17" s="22"/>
      <c r="AL17" s="22"/>
      <c r="AM17" s="22"/>
      <c r="AN17" s="22"/>
      <c r="AP17" s="22" t="s">
        <v>45</v>
      </c>
      <c r="AQ17" s="22"/>
      <c r="AR17" s="22"/>
      <c r="AS17" s="22"/>
      <c r="AT17" s="22"/>
      <c r="AV17" s="22" t="s">
        <v>46</v>
      </c>
      <c r="AW17" s="22"/>
      <c r="AX17" s="22"/>
      <c r="AY17" s="22"/>
      <c r="AZ17" s="22"/>
      <c r="BB17" s="22" t="s">
        <v>47</v>
      </c>
      <c r="BC17" s="22"/>
      <c r="BD17" s="22"/>
      <c r="BE17" s="22"/>
      <c r="BF17" s="22"/>
      <c r="BH17" s="22" t="s">
        <v>48</v>
      </c>
      <c r="BI17" s="22"/>
      <c r="BJ17" s="22"/>
      <c r="BK17" s="22"/>
      <c r="BL17" s="22"/>
    </row>
    <row r="18" spans="1:64" ht="11.25" customHeight="1" x14ac:dyDescent="0.25">
      <c r="A18" s="1"/>
      <c r="B18" s="1"/>
      <c r="C18" s="1"/>
      <c r="D18" s="1"/>
      <c r="E18" s="1"/>
      <c r="G18" s="1"/>
      <c r="H18" s="1"/>
      <c r="I18" s="6"/>
      <c r="J18" s="1"/>
      <c r="K18" s="1"/>
      <c r="M18" s="1"/>
      <c r="N18" s="1"/>
      <c r="O18" s="6"/>
      <c r="P18" s="1"/>
      <c r="Q18" s="1"/>
      <c r="S18" s="1"/>
      <c r="T18" s="1"/>
      <c r="U18" s="6"/>
      <c r="V18" s="1"/>
      <c r="W18" s="6"/>
      <c r="Y18" s="1"/>
      <c r="Z18" s="1"/>
      <c r="AA18" s="6"/>
      <c r="AB18" s="1"/>
      <c r="AC18" s="6"/>
      <c r="AJ18" s="1"/>
      <c r="AK18" s="6"/>
      <c r="AL18" s="6"/>
      <c r="AM18" s="6"/>
      <c r="AN18" s="1"/>
      <c r="AP18" s="1"/>
      <c r="AQ18" s="1"/>
      <c r="AR18" s="1"/>
      <c r="AS18" s="1"/>
      <c r="AT18" s="1"/>
      <c r="AV18" s="6"/>
      <c r="AW18" s="1"/>
      <c r="AX18" s="1"/>
      <c r="AY18" s="1"/>
      <c r="AZ18" s="6"/>
      <c r="BB18" s="6"/>
      <c r="BC18" s="6"/>
      <c r="BD18" s="6"/>
      <c r="BE18" s="1"/>
      <c r="BF18" s="1"/>
      <c r="BH18" s="1"/>
      <c r="BI18" s="1"/>
      <c r="BJ18" s="1"/>
      <c r="BK18" s="1"/>
      <c r="BL18" s="6"/>
    </row>
    <row r="19" spans="1:64" ht="11.25" customHeight="1" x14ac:dyDescent="0.25">
      <c r="A19" s="1"/>
      <c r="B19" s="1"/>
      <c r="C19" s="1"/>
      <c r="D19" s="1"/>
      <c r="E19" s="1"/>
      <c r="G19" s="1"/>
      <c r="H19" s="1"/>
      <c r="I19" s="1"/>
      <c r="J19" s="1"/>
      <c r="K19" s="1"/>
      <c r="M19" s="1"/>
      <c r="N19" s="1"/>
      <c r="O19" s="1"/>
      <c r="P19" s="1"/>
      <c r="Q19" s="1"/>
      <c r="S19" s="1"/>
      <c r="T19" s="1"/>
      <c r="U19" s="1"/>
      <c r="V19" s="1"/>
      <c r="W19" s="1"/>
      <c r="Y19" s="1"/>
      <c r="Z19" s="1"/>
      <c r="AA19" s="1"/>
      <c r="AB19" s="1"/>
      <c r="AC19" s="1"/>
      <c r="AJ19" s="1"/>
      <c r="AK19" s="1"/>
      <c r="AL19" s="1"/>
      <c r="AM19" s="1"/>
      <c r="AN19" s="1"/>
      <c r="AP19" s="1"/>
      <c r="AQ19" s="6"/>
      <c r="AR19" s="6"/>
      <c r="AS19" s="6"/>
      <c r="AT19" s="1"/>
      <c r="AV19" s="1"/>
      <c r="AW19" s="6"/>
      <c r="AX19" s="6"/>
      <c r="AY19" s="6"/>
      <c r="AZ19" s="1"/>
      <c r="BB19" s="1"/>
      <c r="BC19" s="1"/>
      <c r="BD19" s="1"/>
      <c r="BE19" s="6"/>
      <c r="BF19" s="1"/>
      <c r="BH19" s="1"/>
      <c r="BI19" s="1"/>
      <c r="BJ19" s="1"/>
      <c r="BK19" s="6"/>
      <c r="BL19" s="1"/>
    </row>
    <row r="20" spans="1:64" ht="11.25" customHeight="1" x14ac:dyDescent="0.25">
      <c r="A20" s="6"/>
      <c r="B20" s="6"/>
      <c r="C20" s="1"/>
      <c r="D20" s="6"/>
      <c r="E20" s="6"/>
      <c r="G20" s="1"/>
      <c r="H20" s="1"/>
      <c r="I20" s="1"/>
      <c r="J20" s="6"/>
      <c r="K20" s="6"/>
      <c r="M20" s="6"/>
      <c r="N20" s="6"/>
      <c r="O20" s="1"/>
      <c r="P20" s="1"/>
      <c r="Q20" s="1"/>
      <c r="S20" s="1"/>
      <c r="T20" s="6"/>
      <c r="U20" s="1"/>
      <c r="V20" s="1"/>
      <c r="W20" s="1"/>
      <c r="Y20" s="6"/>
      <c r="Z20" s="1"/>
      <c r="AA20" s="1"/>
      <c r="AB20" s="6"/>
      <c r="AC20" s="1"/>
      <c r="AJ20" s="6"/>
      <c r="AK20" s="1"/>
      <c r="AL20" s="1"/>
      <c r="AM20" s="1"/>
      <c r="AN20" s="6"/>
      <c r="AP20" s="6"/>
      <c r="AQ20" s="1"/>
      <c r="AR20" s="1"/>
      <c r="AS20" s="1"/>
      <c r="AT20" s="6"/>
      <c r="AV20" s="1"/>
      <c r="AW20" s="1"/>
      <c r="AX20" s="1"/>
      <c r="AY20" s="1"/>
      <c r="AZ20" s="1"/>
      <c r="BB20" s="1"/>
      <c r="BC20" s="1"/>
      <c r="BD20" s="1"/>
      <c r="BE20" s="1"/>
      <c r="BF20" s="6"/>
      <c r="BH20" s="6"/>
      <c r="BI20" s="6"/>
      <c r="BJ20" s="6"/>
      <c r="BK20" s="1"/>
      <c r="BL20" s="1"/>
    </row>
    <row r="22" spans="1:64" ht="11.25" customHeight="1" x14ac:dyDescent="0.25">
      <c r="A22" s="22" t="s">
        <v>39</v>
      </c>
      <c r="B22" s="22"/>
      <c r="C22" s="22"/>
      <c r="D22" s="22"/>
      <c r="E22" s="22"/>
      <c r="G22" s="22" t="s">
        <v>40</v>
      </c>
      <c r="H22" s="22"/>
      <c r="I22" s="22"/>
      <c r="J22" s="22"/>
      <c r="K22" s="22"/>
      <c r="M22" s="22" t="s">
        <v>41</v>
      </c>
      <c r="N22" s="22"/>
      <c r="O22" s="22"/>
      <c r="P22" s="22"/>
      <c r="Q22" s="22"/>
      <c r="S22" s="22" t="s">
        <v>42</v>
      </c>
      <c r="T22" s="22"/>
      <c r="U22" s="22"/>
      <c r="V22" s="22"/>
      <c r="W22" s="22"/>
      <c r="Y22" s="22" t="s">
        <v>43</v>
      </c>
      <c r="Z22" s="22"/>
      <c r="AA22" s="22"/>
      <c r="AB22" s="22"/>
      <c r="AC22" s="22"/>
    </row>
    <row r="23" spans="1:64" ht="11.25" customHeight="1" x14ac:dyDescent="0.25">
      <c r="A23" s="1"/>
      <c r="B23" s="1"/>
      <c r="C23" s="6"/>
      <c r="D23" s="1"/>
      <c r="E23" s="1"/>
      <c r="G23" s="1"/>
      <c r="H23" s="6"/>
      <c r="I23" s="1"/>
      <c r="J23" s="6"/>
      <c r="K23" s="1"/>
      <c r="M23" s="1"/>
      <c r="N23" s="6"/>
      <c r="O23" s="1"/>
      <c r="P23" s="1"/>
      <c r="Q23" s="1"/>
      <c r="S23" s="1"/>
      <c r="T23" s="1"/>
      <c r="U23" s="1"/>
      <c r="V23" s="1"/>
      <c r="W23" s="1"/>
      <c r="Y23" s="1"/>
      <c r="Z23" s="1"/>
      <c r="AA23" s="1"/>
      <c r="AB23" s="1"/>
      <c r="AC23" s="1"/>
      <c r="AJ23">
        <v>1</v>
      </c>
      <c r="AK23">
        <v>1</v>
      </c>
      <c r="AL23">
        <v>1</v>
      </c>
      <c r="AM23">
        <v>1</v>
      </c>
      <c r="AN23">
        <v>1</v>
      </c>
    </row>
    <row r="24" spans="1:64" ht="11.25" customHeight="1" x14ac:dyDescent="0.25">
      <c r="A24" s="6"/>
      <c r="B24" s="1"/>
      <c r="C24" s="1"/>
      <c r="D24" s="1"/>
      <c r="E24" s="6"/>
      <c r="G24" s="1"/>
      <c r="H24" s="1"/>
      <c r="I24" s="1"/>
      <c r="J24" s="1"/>
      <c r="K24" s="1"/>
      <c r="M24" s="6"/>
      <c r="N24" s="1"/>
      <c r="O24" s="6"/>
      <c r="P24" s="1"/>
      <c r="Q24" s="6"/>
      <c r="S24" s="1"/>
      <c r="T24" s="1"/>
      <c r="U24" s="1"/>
      <c r="V24" s="1"/>
      <c r="W24" s="1"/>
      <c r="Y24" s="1"/>
      <c r="Z24" s="6"/>
      <c r="AA24" s="1"/>
      <c r="AB24" s="6"/>
      <c r="AC24" s="1"/>
      <c r="AJ24">
        <v>0</v>
      </c>
      <c r="AK24">
        <v>0</v>
      </c>
      <c r="AL24">
        <v>0</v>
      </c>
      <c r="AM24">
        <v>0</v>
      </c>
      <c r="AN24">
        <v>0</v>
      </c>
    </row>
    <row r="25" spans="1:64" ht="11.25" customHeight="1" x14ac:dyDescent="0.25">
      <c r="A25" s="1"/>
      <c r="B25" s="1"/>
      <c r="C25" s="1"/>
      <c r="D25" s="1"/>
      <c r="E25" s="1"/>
      <c r="G25" s="1"/>
      <c r="H25" s="1"/>
      <c r="I25" s="1"/>
      <c r="J25" s="1"/>
      <c r="K25" s="1"/>
      <c r="M25" s="1"/>
      <c r="N25" s="1"/>
      <c r="O25" s="1"/>
      <c r="P25" s="6"/>
      <c r="Q25" s="1"/>
      <c r="S25" s="1"/>
      <c r="T25" s="1"/>
      <c r="U25" s="1"/>
      <c r="V25" s="6"/>
      <c r="W25" s="1"/>
      <c r="Y25" s="6"/>
      <c r="Z25" s="1"/>
      <c r="AA25" s="1"/>
      <c r="AB25" s="1"/>
      <c r="AC25" s="6"/>
      <c r="AJ25">
        <v>2</v>
      </c>
      <c r="AK25">
        <v>2</v>
      </c>
      <c r="AL25">
        <v>2</v>
      </c>
      <c r="AM25">
        <v>2</v>
      </c>
      <c r="AN25">
        <v>2</v>
      </c>
    </row>
    <row r="26" spans="1:64" ht="11.25" customHeight="1" x14ac:dyDescent="0.25">
      <c r="A26" s="1"/>
      <c r="B26" s="1"/>
      <c r="C26" s="1"/>
      <c r="D26" s="1"/>
      <c r="E26" s="1"/>
      <c r="G26" s="6"/>
      <c r="H26" s="1"/>
      <c r="I26" s="1"/>
      <c r="J26" s="1"/>
      <c r="K26" s="6"/>
      <c r="M26" s="1"/>
      <c r="N26" s="1"/>
      <c r="O26" s="1"/>
      <c r="P26" s="1"/>
      <c r="Q26" s="1"/>
      <c r="S26" s="6"/>
      <c r="T26" s="1"/>
      <c r="U26" s="6"/>
      <c r="V26" s="1"/>
      <c r="W26" s="6"/>
      <c r="Y26" s="1"/>
      <c r="Z26" s="1"/>
      <c r="AA26" s="6"/>
      <c r="AB26" s="1"/>
      <c r="AC26" s="1"/>
      <c r="AJ26">
        <v>0</v>
      </c>
      <c r="AK26">
        <v>1</v>
      </c>
      <c r="AL26">
        <v>2</v>
      </c>
      <c r="AM26">
        <v>1</v>
      </c>
      <c r="AN26">
        <v>0</v>
      </c>
    </row>
    <row r="27" spans="1:64" ht="11.25" customHeight="1" x14ac:dyDescent="0.25">
      <c r="A27" s="1"/>
      <c r="B27" s="6"/>
      <c r="C27" s="1"/>
      <c r="D27" s="6"/>
      <c r="E27" s="1"/>
      <c r="G27" s="1"/>
      <c r="H27" s="1"/>
      <c r="I27" s="6"/>
      <c r="J27" s="1"/>
      <c r="K27" s="1"/>
      <c r="M27" s="1"/>
      <c r="N27" s="1"/>
      <c r="O27" s="1"/>
      <c r="P27" s="1"/>
      <c r="Q27" s="1"/>
      <c r="S27" s="1"/>
      <c r="T27" s="6"/>
      <c r="U27" s="1"/>
      <c r="V27" s="1"/>
      <c r="W27" s="1"/>
      <c r="Y27" s="1"/>
      <c r="Z27" s="1"/>
      <c r="AA27" s="1"/>
      <c r="AB27" s="1"/>
      <c r="AC27" s="1"/>
      <c r="AJ27">
        <v>2</v>
      </c>
      <c r="AK27">
        <v>1</v>
      </c>
      <c r="AL27">
        <v>0</v>
      </c>
      <c r="AM27">
        <v>1</v>
      </c>
      <c r="AN27">
        <v>2</v>
      </c>
    </row>
    <row r="28" spans="1:64" ht="11.25" customHeight="1" x14ac:dyDescent="0.25">
      <c r="AJ28">
        <v>1</v>
      </c>
      <c r="AK28">
        <v>2</v>
      </c>
      <c r="AL28">
        <v>0</v>
      </c>
      <c r="AM28">
        <v>2</v>
      </c>
      <c r="AN28">
        <v>1</v>
      </c>
    </row>
    <row r="29" spans="1:64" ht="11.25" customHeight="1" x14ac:dyDescent="0.25">
      <c r="A29" s="22" t="s">
        <v>44</v>
      </c>
      <c r="B29" s="22"/>
      <c r="C29" s="22"/>
      <c r="D29" s="22"/>
      <c r="E29" s="22"/>
      <c r="G29" s="22" t="s">
        <v>45</v>
      </c>
      <c r="H29" s="22"/>
      <c r="I29" s="22"/>
      <c r="J29" s="22"/>
      <c r="K29" s="22"/>
      <c r="M29" s="22" t="s">
        <v>46</v>
      </c>
      <c r="N29" s="22"/>
      <c r="O29" s="22"/>
      <c r="P29" s="22"/>
      <c r="Q29" s="22"/>
      <c r="S29" s="22" t="s">
        <v>47</v>
      </c>
      <c r="T29" s="22"/>
      <c r="U29" s="22"/>
      <c r="V29" s="22"/>
      <c r="W29" s="22"/>
      <c r="Y29" s="22" t="s">
        <v>48</v>
      </c>
      <c r="Z29" s="22"/>
      <c r="AA29" s="22"/>
      <c r="AB29" s="22"/>
      <c r="AC29" s="22"/>
      <c r="AJ29">
        <v>1</v>
      </c>
      <c r="AK29">
        <v>0</v>
      </c>
      <c r="AL29">
        <v>2</v>
      </c>
      <c r="AM29">
        <v>0</v>
      </c>
      <c r="AN29">
        <v>1</v>
      </c>
    </row>
    <row r="30" spans="1:64" ht="11.25" customHeight="1" x14ac:dyDescent="0.25">
      <c r="A30" s="1"/>
      <c r="B30" s="1"/>
      <c r="C30" s="1"/>
      <c r="D30" s="1"/>
      <c r="E30" s="1"/>
      <c r="G30" s="1"/>
      <c r="H30" s="1"/>
      <c r="I30" s="1"/>
      <c r="J30" s="1"/>
      <c r="K30" s="1"/>
      <c r="M30" s="1"/>
      <c r="N30" s="1"/>
      <c r="O30" s="1"/>
      <c r="P30" s="1"/>
      <c r="Q30" s="1"/>
      <c r="S30" s="1"/>
      <c r="T30" s="1"/>
      <c r="U30" s="6"/>
      <c r="V30" s="1"/>
      <c r="W30" s="1"/>
      <c r="Y30" s="1"/>
      <c r="Z30" s="1"/>
      <c r="AA30" s="1"/>
      <c r="AB30" s="1"/>
      <c r="AC30" s="1"/>
      <c r="AJ30">
        <v>1</v>
      </c>
      <c r="AK30">
        <v>2</v>
      </c>
      <c r="AL30">
        <v>1</v>
      </c>
      <c r="AM30">
        <v>0</v>
      </c>
      <c r="AN30">
        <v>1</v>
      </c>
    </row>
    <row r="31" spans="1:64" ht="11.25" customHeight="1" x14ac:dyDescent="0.25">
      <c r="A31" s="1"/>
      <c r="B31" s="1"/>
      <c r="C31" s="6"/>
      <c r="D31" s="1"/>
      <c r="E31" s="1"/>
      <c r="G31" s="6"/>
      <c r="H31" s="6"/>
      <c r="I31" s="1"/>
      <c r="J31" s="6"/>
      <c r="K31" s="6"/>
      <c r="M31" s="1"/>
      <c r="N31" s="1"/>
      <c r="O31" s="6"/>
      <c r="P31" s="1"/>
      <c r="Q31" s="1"/>
      <c r="S31" s="1"/>
      <c r="T31" s="6"/>
      <c r="U31" s="1"/>
      <c r="V31" s="6"/>
      <c r="W31" s="1"/>
      <c r="Y31" s="1"/>
      <c r="Z31" s="1"/>
      <c r="AA31" s="1"/>
      <c r="AB31" s="1"/>
      <c r="AC31" s="1"/>
      <c r="AJ31">
        <v>1</v>
      </c>
      <c r="AK31">
        <v>0</v>
      </c>
      <c r="AL31">
        <v>1</v>
      </c>
      <c r="AM31">
        <v>2</v>
      </c>
      <c r="AN31">
        <v>1</v>
      </c>
    </row>
    <row r="32" spans="1:64" ht="11.25" customHeight="1" x14ac:dyDescent="0.25">
      <c r="A32" s="6"/>
      <c r="B32" s="1"/>
      <c r="C32" s="1"/>
      <c r="D32" s="1"/>
      <c r="E32" s="6"/>
      <c r="G32" s="1"/>
      <c r="H32" s="1"/>
      <c r="I32" s="1"/>
      <c r="J32" s="1"/>
      <c r="K32" s="1"/>
      <c r="M32" s="1"/>
      <c r="N32" s="1"/>
      <c r="O32" s="1"/>
      <c r="P32" s="1"/>
      <c r="Q32" s="1"/>
      <c r="S32" s="6"/>
      <c r="T32" s="1"/>
      <c r="U32" s="1"/>
      <c r="V32" s="1"/>
      <c r="W32" s="6"/>
      <c r="Y32" s="6"/>
      <c r="Z32" s="1"/>
      <c r="AA32" s="1"/>
      <c r="AB32" s="1"/>
      <c r="AC32" s="6"/>
      <c r="AJ32">
        <v>2</v>
      </c>
      <c r="AK32">
        <v>2</v>
      </c>
      <c r="AL32">
        <v>0</v>
      </c>
      <c r="AM32">
        <v>2</v>
      </c>
      <c r="AN32">
        <v>2</v>
      </c>
    </row>
    <row r="33" spans="1:40" ht="11.25" customHeight="1" x14ac:dyDescent="0.25">
      <c r="A33" s="1"/>
      <c r="B33" s="6"/>
      <c r="C33" s="1"/>
      <c r="D33" s="6"/>
      <c r="E33" s="1"/>
      <c r="G33" s="1"/>
      <c r="H33" s="1"/>
      <c r="I33" s="6"/>
      <c r="J33" s="1"/>
      <c r="K33" s="1"/>
      <c r="M33" s="6"/>
      <c r="N33" s="6"/>
      <c r="O33" s="1"/>
      <c r="P33" s="6"/>
      <c r="Q33" s="6"/>
      <c r="S33" s="1"/>
      <c r="T33" s="1"/>
      <c r="U33" s="1"/>
      <c r="V33" s="1"/>
      <c r="W33" s="1"/>
      <c r="Y33" s="1"/>
      <c r="Z33" s="6"/>
      <c r="AA33" s="1"/>
      <c r="AB33" s="6"/>
      <c r="AC33" s="1"/>
      <c r="AJ33">
        <v>0</v>
      </c>
      <c r="AK33">
        <v>2</v>
      </c>
      <c r="AL33">
        <v>0</v>
      </c>
      <c r="AM33">
        <v>2</v>
      </c>
      <c r="AN33">
        <v>0</v>
      </c>
    </row>
    <row r="34" spans="1:40" ht="11.25" customHeight="1" x14ac:dyDescent="0.25">
      <c r="A34" s="1"/>
      <c r="B34" s="1"/>
      <c r="C34" s="1"/>
      <c r="D34" s="1"/>
      <c r="E34" s="1"/>
      <c r="G34" s="1"/>
      <c r="H34" s="1"/>
      <c r="I34" s="1"/>
      <c r="J34" s="1"/>
      <c r="K34" s="1"/>
      <c r="M34" s="1"/>
      <c r="N34" s="1"/>
      <c r="O34" s="1"/>
      <c r="P34" s="1"/>
      <c r="Q34" s="1"/>
      <c r="S34" s="1"/>
      <c r="T34" s="1"/>
      <c r="U34" s="1"/>
      <c r="V34" s="1"/>
      <c r="W34" s="1"/>
      <c r="Y34" s="1"/>
      <c r="Z34" s="1"/>
      <c r="AA34" s="6"/>
      <c r="AB34" s="1"/>
      <c r="AC34" s="1"/>
      <c r="AJ34">
        <v>2</v>
      </c>
      <c r="AK34">
        <v>0</v>
      </c>
      <c r="AL34">
        <v>2</v>
      </c>
      <c r="AM34">
        <v>0</v>
      </c>
      <c r="AN34">
        <v>2</v>
      </c>
    </row>
    <row r="35" spans="1:40" ht="11.25" customHeight="1" x14ac:dyDescent="0.25">
      <c r="AJ35">
        <v>0</v>
      </c>
      <c r="AK35">
        <v>0</v>
      </c>
      <c r="AL35">
        <v>1</v>
      </c>
      <c r="AM35">
        <v>2</v>
      </c>
      <c r="AN35">
        <v>2</v>
      </c>
    </row>
    <row r="36" spans="1:40" ht="26.25" customHeight="1" x14ac:dyDescent="0.25">
      <c r="A36" t="s">
        <v>64</v>
      </c>
      <c r="B36">
        <v>5</v>
      </c>
      <c r="C36">
        <v>5</v>
      </c>
      <c r="D36">
        <v>5</v>
      </c>
      <c r="E36">
        <v>5</v>
      </c>
      <c r="F36">
        <v>5</v>
      </c>
      <c r="AJ36">
        <v>2</v>
      </c>
      <c r="AK36">
        <v>2</v>
      </c>
      <c r="AL36">
        <v>1</v>
      </c>
      <c r="AM36">
        <v>0</v>
      </c>
      <c r="AN36">
        <v>0</v>
      </c>
    </row>
    <row r="37" spans="1:40" ht="26.25" customHeight="1" x14ac:dyDescent="0.25">
      <c r="A37" t="s">
        <v>65</v>
      </c>
      <c r="B37">
        <v>4</v>
      </c>
      <c r="C37">
        <v>4</v>
      </c>
      <c r="D37">
        <v>4</v>
      </c>
      <c r="E37">
        <v>4</v>
      </c>
      <c r="F37">
        <v>4</v>
      </c>
      <c r="AJ37">
        <v>0</v>
      </c>
      <c r="AK37">
        <v>0</v>
      </c>
      <c r="AL37">
        <v>2</v>
      </c>
      <c r="AM37">
        <v>0</v>
      </c>
      <c r="AN37">
        <v>0</v>
      </c>
    </row>
    <row r="38" spans="1:40" ht="26.25" customHeight="1" x14ac:dyDescent="0.25">
      <c r="A38" t="s">
        <v>66</v>
      </c>
      <c r="B38">
        <v>3</v>
      </c>
      <c r="C38">
        <v>3</v>
      </c>
      <c r="D38">
        <v>3</v>
      </c>
      <c r="E38">
        <v>3</v>
      </c>
      <c r="F38">
        <v>3</v>
      </c>
      <c r="AJ38">
        <v>0</v>
      </c>
      <c r="AK38">
        <v>1</v>
      </c>
      <c r="AL38">
        <v>0</v>
      </c>
      <c r="AM38">
        <v>1</v>
      </c>
      <c r="AN38">
        <v>0</v>
      </c>
    </row>
    <row r="39" spans="1:40" ht="26.25" customHeight="1" x14ac:dyDescent="0.25">
      <c r="A39" t="s">
        <v>67</v>
      </c>
      <c r="B39">
        <v>2</v>
      </c>
      <c r="C39">
        <v>2</v>
      </c>
      <c r="D39">
        <v>2</v>
      </c>
      <c r="E39">
        <v>2</v>
      </c>
      <c r="F39">
        <v>2</v>
      </c>
      <c r="AJ39">
        <v>1</v>
      </c>
      <c r="AK39">
        <v>2</v>
      </c>
      <c r="AL39">
        <v>1</v>
      </c>
      <c r="AM39">
        <v>2</v>
      </c>
      <c r="AN39">
        <v>1</v>
      </c>
    </row>
    <row r="40" spans="1:40" ht="26.25" customHeight="1" x14ac:dyDescent="0.25">
      <c r="A40" t="s">
        <v>68</v>
      </c>
      <c r="B40">
        <v>1</v>
      </c>
      <c r="C40">
        <v>1</v>
      </c>
      <c r="D40">
        <v>1</v>
      </c>
      <c r="E40">
        <v>1</v>
      </c>
      <c r="F40">
        <v>1</v>
      </c>
      <c r="AJ40">
        <v>1</v>
      </c>
      <c r="AK40">
        <v>0</v>
      </c>
      <c r="AL40">
        <v>1</v>
      </c>
      <c r="AM40">
        <v>0</v>
      </c>
      <c r="AN40">
        <v>1</v>
      </c>
    </row>
    <row r="41" spans="1:40" ht="26.25" customHeight="1" x14ac:dyDescent="0.25">
      <c r="A41" t="s">
        <v>69</v>
      </c>
      <c r="B41">
        <v>5</v>
      </c>
      <c r="C41">
        <v>4</v>
      </c>
      <c r="D41">
        <v>3</v>
      </c>
      <c r="E41">
        <v>2</v>
      </c>
      <c r="F41">
        <v>1</v>
      </c>
      <c r="AJ41">
        <v>2</v>
      </c>
      <c r="AK41">
        <v>1</v>
      </c>
      <c r="AL41">
        <v>2</v>
      </c>
      <c r="AM41">
        <v>1</v>
      </c>
      <c r="AN41">
        <v>2</v>
      </c>
    </row>
    <row r="42" spans="1:40" ht="26.25" customHeight="1" x14ac:dyDescent="0.25">
      <c r="A42" t="s">
        <v>70</v>
      </c>
      <c r="B42">
        <v>1</v>
      </c>
      <c r="C42">
        <v>2</v>
      </c>
      <c r="D42">
        <v>3</v>
      </c>
      <c r="E42">
        <v>4</v>
      </c>
      <c r="F42">
        <v>5</v>
      </c>
      <c r="AJ42">
        <v>0</v>
      </c>
      <c r="AK42">
        <v>2</v>
      </c>
      <c r="AL42">
        <v>2</v>
      </c>
      <c r="AM42">
        <v>2</v>
      </c>
      <c r="AN42">
        <v>0</v>
      </c>
    </row>
    <row r="43" spans="1:40" ht="26.25" customHeight="1" x14ac:dyDescent="0.25">
      <c r="A43" t="s">
        <v>71</v>
      </c>
      <c r="B43">
        <v>5</v>
      </c>
      <c r="C43">
        <v>1</v>
      </c>
      <c r="D43">
        <v>5</v>
      </c>
      <c r="E43">
        <v>1</v>
      </c>
      <c r="F43">
        <v>5</v>
      </c>
      <c r="AJ43">
        <v>2</v>
      </c>
      <c r="AK43">
        <v>0</v>
      </c>
      <c r="AL43">
        <v>0</v>
      </c>
      <c r="AM43">
        <v>0</v>
      </c>
      <c r="AN43">
        <v>2</v>
      </c>
    </row>
    <row r="44" spans="1:40" ht="26.25" customHeight="1" x14ac:dyDescent="0.25">
      <c r="A44" t="s">
        <v>72</v>
      </c>
      <c r="B44">
        <v>1</v>
      </c>
      <c r="C44">
        <v>5</v>
      </c>
      <c r="D44">
        <v>1</v>
      </c>
      <c r="E44">
        <v>5</v>
      </c>
      <c r="F44">
        <v>1</v>
      </c>
      <c r="AJ44">
        <v>2</v>
      </c>
      <c r="AK44">
        <v>1</v>
      </c>
      <c r="AL44">
        <v>1</v>
      </c>
      <c r="AM44">
        <v>1</v>
      </c>
      <c r="AN44">
        <v>2</v>
      </c>
    </row>
    <row r="45" spans="1:40" ht="26.25" customHeight="1" x14ac:dyDescent="0.25">
      <c r="A45" t="s">
        <v>73</v>
      </c>
      <c r="B45">
        <v>5</v>
      </c>
      <c r="C45">
        <v>5</v>
      </c>
      <c r="D45">
        <v>1</v>
      </c>
      <c r="E45">
        <v>5</v>
      </c>
      <c r="F45">
        <v>5</v>
      </c>
      <c r="AJ45">
        <v>0</v>
      </c>
      <c r="AK45">
        <v>1</v>
      </c>
      <c r="AL45">
        <v>1</v>
      </c>
      <c r="AM45">
        <v>1</v>
      </c>
      <c r="AN45">
        <v>0</v>
      </c>
    </row>
    <row r="46" spans="1:40" ht="26.25" customHeight="1" x14ac:dyDescent="0.25">
      <c r="A46" t="s">
        <v>74</v>
      </c>
      <c r="B46">
        <v>1</v>
      </c>
      <c r="C46">
        <v>1</v>
      </c>
      <c r="D46">
        <v>5</v>
      </c>
      <c r="E46">
        <v>1</v>
      </c>
      <c r="F46">
        <v>1</v>
      </c>
      <c r="AJ46">
        <v>0</v>
      </c>
      <c r="AK46">
        <v>0</v>
      </c>
      <c r="AL46">
        <v>0</v>
      </c>
      <c r="AM46">
        <v>1</v>
      </c>
      <c r="AN46">
        <v>2</v>
      </c>
    </row>
    <row r="47" spans="1:40" ht="26.25" customHeight="1" x14ac:dyDescent="0.25">
      <c r="A47" t="s">
        <v>75</v>
      </c>
      <c r="B47">
        <v>5</v>
      </c>
      <c r="C47">
        <v>5</v>
      </c>
      <c r="D47">
        <v>3</v>
      </c>
      <c r="E47">
        <v>1</v>
      </c>
      <c r="F47">
        <v>1</v>
      </c>
      <c r="AJ47">
        <v>2</v>
      </c>
      <c r="AK47">
        <v>2</v>
      </c>
      <c r="AL47">
        <v>2</v>
      </c>
      <c r="AM47">
        <v>1</v>
      </c>
      <c r="AN47">
        <v>0</v>
      </c>
    </row>
    <row r="48" spans="1:40" ht="26.25" customHeight="1" x14ac:dyDescent="0.25">
      <c r="A48" t="s">
        <v>76</v>
      </c>
      <c r="B48">
        <v>1</v>
      </c>
      <c r="C48">
        <v>1</v>
      </c>
      <c r="D48">
        <v>3</v>
      </c>
      <c r="E48">
        <v>5</v>
      </c>
      <c r="F48">
        <v>5</v>
      </c>
    </row>
    <row r="49" spans="1:6" ht="26.25" customHeight="1" x14ac:dyDescent="0.25">
      <c r="A49" t="s">
        <v>77</v>
      </c>
      <c r="B49">
        <v>5</v>
      </c>
      <c r="C49">
        <v>1</v>
      </c>
      <c r="D49">
        <v>3</v>
      </c>
      <c r="E49">
        <v>1</v>
      </c>
      <c r="F49">
        <v>3</v>
      </c>
    </row>
    <row r="50" spans="1:6" ht="26.25" customHeight="1" x14ac:dyDescent="0.25">
      <c r="A50" t="s">
        <v>78</v>
      </c>
      <c r="B50">
        <v>1</v>
      </c>
      <c r="C50">
        <v>5</v>
      </c>
      <c r="D50">
        <v>3</v>
      </c>
      <c r="E50">
        <v>1</v>
      </c>
      <c r="F50">
        <v>3</v>
      </c>
    </row>
    <row r="51" spans="1:6" ht="26.25" customHeight="1" x14ac:dyDescent="0.25">
      <c r="A51" t="s">
        <v>79</v>
      </c>
      <c r="B51">
        <v>4</v>
      </c>
      <c r="C51">
        <v>1</v>
      </c>
      <c r="D51">
        <v>5</v>
      </c>
      <c r="E51">
        <v>1</v>
      </c>
      <c r="F51">
        <v>4</v>
      </c>
    </row>
    <row r="52" spans="1:6" ht="26.25" customHeight="1" x14ac:dyDescent="0.25">
      <c r="A52" t="s">
        <v>80</v>
      </c>
      <c r="B52">
        <v>2</v>
      </c>
      <c r="C52">
        <v>5</v>
      </c>
      <c r="D52">
        <v>1</v>
      </c>
      <c r="E52">
        <v>5</v>
      </c>
      <c r="F52">
        <v>2</v>
      </c>
    </row>
    <row r="53" spans="1:6" ht="26.25" customHeight="1" x14ac:dyDescent="0.25">
      <c r="A53" t="s">
        <v>81</v>
      </c>
      <c r="B53">
        <v>4</v>
      </c>
      <c r="C53">
        <v>5</v>
      </c>
      <c r="D53">
        <v>4</v>
      </c>
      <c r="E53">
        <v>3</v>
      </c>
      <c r="F53">
        <v>4</v>
      </c>
    </row>
    <row r="54" spans="1:6" ht="26.25" customHeight="1" x14ac:dyDescent="0.25">
      <c r="A54" t="s">
        <v>82</v>
      </c>
      <c r="B54">
        <v>2</v>
      </c>
      <c r="C54">
        <v>1</v>
      </c>
      <c r="D54">
        <v>2</v>
      </c>
      <c r="E54">
        <v>3</v>
      </c>
      <c r="F54">
        <v>2</v>
      </c>
    </row>
    <row r="55" spans="1:6" ht="26.25" customHeight="1" x14ac:dyDescent="0.25">
      <c r="A55" t="s">
        <v>83</v>
      </c>
      <c r="B55">
        <v>3</v>
      </c>
      <c r="C55">
        <v>4</v>
      </c>
      <c r="D55">
        <v>2</v>
      </c>
      <c r="E55">
        <v>4</v>
      </c>
      <c r="F55">
        <v>3</v>
      </c>
    </row>
    <row r="56" spans="1:6" ht="26.25" customHeight="1" x14ac:dyDescent="0.25">
      <c r="A56" t="s">
        <v>84</v>
      </c>
      <c r="B56">
        <v>3</v>
      </c>
      <c r="C56">
        <v>2</v>
      </c>
      <c r="D56">
        <v>4</v>
      </c>
      <c r="E56">
        <v>2</v>
      </c>
      <c r="F56">
        <v>3</v>
      </c>
    </row>
    <row r="57" spans="1:6" ht="26.25" customHeight="1" x14ac:dyDescent="0.25">
      <c r="A57" t="s">
        <v>85</v>
      </c>
      <c r="B57">
        <v>4</v>
      </c>
      <c r="C57">
        <v>4</v>
      </c>
      <c r="D57">
        <v>2</v>
      </c>
      <c r="E57">
        <v>4</v>
      </c>
      <c r="F57">
        <v>4</v>
      </c>
    </row>
    <row r="58" spans="1:6" ht="26.25" customHeight="1" x14ac:dyDescent="0.25">
      <c r="A58" t="s">
        <v>86</v>
      </c>
      <c r="B58">
        <v>2</v>
      </c>
      <c r="C58">
        <v>2</v>
      </c>
      <c r="D58">
        <v>4</v>
      </c>
      <c r="E58">
        <v>2</v>
      </c>
      <c r="F58">
        <v>2</v>
      </c>
    </row>
    <row r="59" spans="1:6" ht="26.25" customHeight="1" x14ac:dyDescent="0.25">
      <c r="A59" t="s">
        <v>87</v>
      </c>
      <c r="B59">
        <v>3</v>
      </c>
      <c r="C59">
        <v>4</v>
      </c>
      <c r="D59">
        <v>5</v>
      </c>
      <c r="E59">
        <v>4</v>
      </c>
      <c r="F59">
        <v>3</v>
      </c>
    </row>
    <row r="60" spans="1:6" ht="26.25" customHeight="1" x14ac:dyDescent="0.25">
      <c r="A60" t="s">
        <v>88</v>
      </c>
      <c r="B60">
        <v>3</v>
      </c>
      <c r="C60">
        <v>2</v>
      </c>
      <c r="D60">
        <v>1</v>
      </c>
      <c r="E60">
        <v>2</v>
      </c>
      <c r="F60">
        <v>3</v>
      </c>
    </row>
  </sheetData>
  <mergeCells count="50">
    <mergeCell ref="AJ17:AN17"/>
    <mergeCell ref="AP17:AT17"/>
    <mergeCell ref="AV17:AZ17"/>
    <mergeCell ref="BB17:BF17"/>
    <mergeCell ref="BH17:BL17"/>
    <mergeCell ref="AJ13:AN13"/>
    <mergeCell ref="AP13:AT13"/>
    <mergeCell ref="AV13:AZ13"/>
    <mergeCell ref="BB13:BF13"/>
    <mergeCell ref="BH13:BL13"/>
    <mergeCell ref="AJ9:AN9"/>
    <mergeCell ref="AP9:AT9"/>
    <mergeCell ref="AV9:AZ9"/>
    <mergeCell ref="BB9:BF9"/>
    <mergeCell ref="BH9:BL9"/>
    <mergeCell ref="AJ5:AN5"/>
    <mergeCell ref="AP5:AT5"/>
    <mergeCell ref="AV5:AZ5"/>
    <mergeCell ref="BB5:BF5"/>
    <mergeCell ref="BH5:BL5"/>
    <mergeCell ref="AJ1:AN1"/>
    <mergeCell ref="AP1:AT1"/>
    <mergeCell ref="AV1:AZ1"/>
    <mergeCell ref="BB1:BF1"/>
    <mergeCell ref="BH1:BL1"/>
    <mergeCell ref="A29:E29"/>
    <mergeCell ref="G29:K29"/>
    <mergeCell ref="M29:Q29"/>
    <mergeCell ref="S29:W29"/>
    <mergeCell ref="Y29:AC29"/>
    <mergeCell ref="A15:E15"/>
    <mergeCell ref="G15:K15"/>
    <mergeCell ref="M15:Q15"/>
    <mergeCell ref="S15:W15"/>
    <mergeCell ref="Y15:AC15"/>
    <mergeCell ref="A22:E22"/>
    <mergeCell ref="G22:K22"/>
    <mergeCell ref="M22:Q22"/>
    <mergeCell ref="S22:W22"/>
    <mergeCell ref="Y22:AC22"/>
    <mergeCell ref="A1:E1"/>
    <mergeCell ref="G1:K1"/>
    <mergeCell ref="M1:Q1"/>
    <mergeCell ref="S1:W1"/>
    <mergeCell ref="Y1:AC1"/>
    <mergeCell ref="A8:E8"/>
    <mergeCell ref="G8:K8"/>
    <mergeCell ref="M8:Q8"/>
    <mergeCell ref="S8:W8"/>
    <mergeCell ref="Y8:AC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6</vt:i4>
      </vt:variant>
    </vt:vector>
  </HeadingPairs>
  <TitlesOfParts>
    <vt:vector size="6" baseType="lpstr">
      <vt:lpstr>Slot</vt:lpstr>
      <vt:lpstr>Random</vt:lpstr>
      <vt:lpstr>Prob</vt:lpstr>
      <vt:lpstr>Combinazioni Uscite</vt:lpstr>
      <vt:lpstr>premi</vt:lpstr>
      <vt:lpstr>Linee vincenti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 Schenetti</dc:creator>
  <cp:lastModifiedBy>Matteo Schenetti</cp:lastModifiedBy>
  <dcterms:created xsi:type="dcterms:W3CDTF">2025-05-12T09:32:19Z</dcterms:created>
  <dcterms:modified xsi:type="dcterms:W3CDTF">2026-08-10T13:55:48Z</dcterms:modified>
</cp:coreProperties>
</file>